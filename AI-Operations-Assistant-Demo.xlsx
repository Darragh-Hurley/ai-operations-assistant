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Emails" sheetId="2" r:id="rId6"/>
    <sheet state="visible" name="Activity Log" sheetId="3" r:id="rId7"/>
    <sheet state="visible" name="Tasks" sheetId="4" r:id="rId8"/>
    <sheet state="visible" name="Customers" sheetId="5" r:id="rId9"/>
    <sheet state="visible" name="Employees" sheetId="6" r:id="rId10"/>
    <sheet state="visible" name="Settings" sheetId="7" r:id="rId11"/>
  </sheets>
  <definedNames/>
  <calcPr/>
</workbook>
</file>

<file path=xl/sharedStrings.xml><?xml version="1.0" encoding="utf-8"?>
<sst xmlns="http://schemas.openxmlformats.org/spreadsheetml/2006/main" count="927" uniqueCount="478">
  <si>
    <t>Timestamp</t>
  </si>
  <si>
    <t>Task ID</t>
  </si>
  <si>
    <t>Email ID</t>
  </si>
  <si>
    <t>Action Type</t>
  </si>
  <si>
    <t>Entity ID</t>
  </si>
  <si>
    <t>Gmail Message ID</t>
  </si>
  <si>
    <t>Entity Type</t>
  </si>
  <si>
    <t>Thread ID</t>
  </si>
  <si>
    <t>Description</t>
  </si>
  <si>
    <t>Customer ID</t>
  </si>
  <si>
    <t>AI Response</t>
  </si>
  <si>
    <t>Assigned Employee ID</t>
  </si>
  <si>
    <t>Sender Name</t>
  </si>
  <si>
    <t>Result</t>
  </si>
  <si>
    <t>Sender Email</t>
  </si>
  <si>
    <t>Error Message</t>
  </si>
  <si>
    <t>Email Title</t>
  </si>
  <si>
    <t>2026-08-04T22:54:36.094Z</t>
  </si>
  <si>
    <t>Email Body</t>
  </si>
  <si>
    <t>Received Date</t>
  </si>
  <si>
    <t>Received Email</t>
  </si>
  <si>
    <t>Category</t>
  </si>
  <si>
    <t>Summary</t>
  </si>
  <si>
    <t>Email</t>
  </si>
  <si>
    <t>Priority</t>
  </si>
  <si>
    <t xml:space="preserve">Incoming Email from </t>
  </si>
  <si>
    <t>Suggested Reply</t>
  </si>
  <si>
    <t>Task Required</t>
  </si>
  <si>
    <t>Created Date</t>
  </si>
  <si>
    <t>Processing status</t>
  </si>
  <si>
    <t>Due Date</t>
  </si>
  <si>
    <t>2026-08-04T22:54:37.116Z</t>
  </si>
  <si>
    <t>Status</t>
  </si>
  <si>
    <t>EM0002</t>
  </si>
  <si>
    <t>New customer</t>
  </si>
  <si>
    <t>Completed Date</t>
  </si>
  <si>
    <t>CST0004</t>
  </si>
  <si>
    <t>19f9ac56457f16bb</t>
  </si>
  <si>
    <t>Notes</t>
  </si>
  <si>
    <t>Customer</t>
  </si>
  <si>
    <t>Created new customer Seeking</t>
  </si>
  <si>
    <t>CST0002</t>
  </si>
  <si>
    <t>TSK00015</t>
  </si>
  <si>
    <t>Darragh Hurley</t>
  </si>
  <si>
    <t>dazmanchelsea@gmail.com</t>
  </si>
  <si>
    <t>Need to reschedule an appointment</t>
  </si>
  <si>
    <t>2026-08-04T22:54:37.542Z</t>
  </si>
  <si>
    <t xml:space="preserve">Hi,
We were meant to have a meeting next Monday the 27th of July. Unfortunately
I have become very ill and won't be working on Monday. Can we reschedule to
some time later in the week?
Regards,
Darragh
</t>
  </si>
  <si>
    <t>EP002</t>
  </si>
  <si>
    <t>2026-07-25T19:34:03.000Z</t>
  </si>
  <si>
    <t>Darragh Hurley has requested to reschedule the meeting set for Monday, July 27th, due to illness. He has asked to move the appointment to a later date in the same week.</t>
  </si>
  <si>
    <t>Existing Customer</t>
  </si>
  <si>
    <t>Medium</t>
  </si>
  <si>
    <t>2026-08-04T22:54:38.254Z</t>
  </si>
  <si>
    <t>Hi Darragh,
Thank you for reaching out and letting us know. I am very sorry to hear that you are unwell, and I hope you have a speedy recovery.
We would be happy to reschedule our meeting to later in the week. Please let us know what days and times work best for you once you are feeling better, and we will get that arranged.
Take care and get well soon.
Best regards,
[Your Name]</t>
  </si>
  <si>
    <t>Assigned</t>
  </si>
  <si>
    <t>Yes</t>
  </si>
  <si>
    <t>Processed</t>
  </si>
  <si>
    <t>2026-08-04T22:54:39.064Z</t>
  </si>
  <si>
    <t>2026-08-04T22:54:39.503Z</t>
  </si>
  <si>
    <t>CST0005</t>
  </si>
  <si>
    <t>TSK00016</t>
  </si>
  <si>
    <t>Created new customer Anonymousemail</t>
  </si>
  <si>
    <t>EM0003</t>
  </si>
  <si>
    <t>CST0003</t>
  </si>
  <si>
    <t>2026-08-04T23:07:09.304Z</t>
  </si>
  <si>
    <t>19f9acbb3f165e21</t>
  </si>
  <si>
    <t>AI Summary</t>
  </si>
  <si>
    <t>EM0004</t>
  </si>
  <si>
    <t>EP001</t>
  </si>
  <si>
    <t>Email summarized by AI</t>
  </si>
  <si>
    <t>The sender is inquiring about how to RSVP for an upcoming event on August 3rd because the invitation email did not include an RSVP option.</t>
  </si>
  <si>
    <t>This is an automated promotional email from Seeking.com showcasing new members in the recipient's area.</t>
  </si>
  <si>
    <t>darragh.hurley23@gmail.com</t>
  </si>
  <si>
    <t>Upcoming event</t>
  </si>
  <si>
    <t xml:space="preserve">Hi,
The email about the event for August 3rd didn't have an option to RSVP. Who
should I contact to let them know?
Thanks,
Darragh
</t>
  </si>
  <si>
    <t>2026-08-04T23:07:15.222Z</t>
  </si>
  <si>
    <t>2026-07-25T19:40:56.000Z</t>
  </si>
  <si>
    <t>Customer Enquiry</t>
  </si>
  <si>
    <t>EM0005</t>
  </si>
  <si>
    <t>Cancelled</t>
  </si>
  <si>
    <t>Hi Darragh,
Thank you for reaching out and letting us know. We apologize for the oversight in the invitation email.
You can RSVP directly by replying to this email, and I will ensure you are added to the attendee list. Alternatively, you can contact our events team at events@company.com for any further assistance.
We hope to see you there!
Best regards,
[Your Name]
[Your Company]</t>
  </si>
  <si>
    <t>An automated promotional email from the dating platform Seeking, showcasing new profiles in the recipient's geographic area. It also contains standard safety warnings regarding sharing personal information.</t>
  </si>
  <si>
    <t>2026-08-04T23:07:22.370Z</t>
  </si>
  <si>
    <t>EM0006</t>
  </si>
  <si>
    <t>An automated promotional email from the dating platform Seeking, highlighting new members in the recipient's geographic area.</t>
  </si>
  <si>
    <t>2026-08-04T23:07:39.616Z</t>
  </si>
  <si>
    <t>19fa1178ff189dac</t>
  </si>
  <si>
    <t>EM0007</t>
  </si>
  <si>
    <t>TSK00017</t>
  </si>
  <si>
    <t>Seeking</t>
  </si>
  <si>
    <t>Janice has reported that all servers are currently down and requested an immediate resolution.</t>
  </si>
  <si>
    <t>alerts@account.seeking.com</t>
  </si>
  <si>
    <t>EP003</t>
  </si>
  <si>
    <t>Check out the newest members in your area!</t>
  </si>
  <si>
    <t>2026-08-04T23:07:39.955Z</t>
  </si>
  <si>
    <t>96
Hi Peter, here are some new members in your area!
Morrigan
39 &amp;#183; Calgary
julie
37 &amp;#183; Three Hills
Sabrina
31 &amp;#183; Calgary
Anita
24 &amp;#183; Calgary
Seeking Member
27 &amp;#183; Calgary
Seeking Member
33 &amp;#183; Olds
Search for More
| 
Do not share any personal information (credit card info, bank account, address, etc.) with anyone under any circumstances. Never disclose your personal banking information, including account numbers or passwords.
| | 
| 
Unsubscribe
| 
| | 
© 2005 - 2026 Seeking in conjunction with Reflex Media – All rights reserved.
W8Tech Cyprus Limited, IRAKLEOUS 2, FLAT/OFFICE 101 2320 NICOSIA, CYPRUS
|</t>
  </si>
  <si>
    <t>Task Created</t>
  </si>
  <si>
    <t>Urgent</t>
  </si>
  <si>
    <t>2026-07-27T01:01:42.000Z</t>
  </si>
  <si>
    <t>Task</t>
  </si>
  <si>
    <t>Spam</t>
  </si>
  <si>
    <t>New Task Created for EmailEM0007</t>
  </si>
  <si>
    <t>No Response Needed</t>
  </si>
  <si>
    <t>Completed</t>
  </si>
  <si>
    <t>No response is required for this automated marketing email.</t>
  </si>
  <si>
    <t>No</t>
  </si>
  <si>
    <t>2026-08-04T23:07:40.590Z</t>
  </si>
  <si>
    <t>Employee Assigned</t>
  </si>
  <si>
    <t>Employee</t>
  </si>
  <si>
    <t>David Trainer has been assigned TSK00017</t>
  </si>
  <si>
    <t>2026-08-04T23:23:00.225Z</t>
  </si>
  <si>
    <t>EM0008</t>
  </si>
  <si>
    <t>19fb31dcd306373d</t>
  </si>
  <si>
    <t>TSK00018</t>
  </si>
  <si>
    <t>Incoming Email from Anonymousemail</t>
  </si>
  <si>
    <t>EM0009</t>
  </si>
  <si>
    <t>CST0006</t>
  </si>
  <si>
    <t>2026-08-04T23:24:00.948Z</t>
  </si>
  <si>
    <t>Darragh Hurley is requesting a meeting this week to discuss building a new website for the cloud team from scratch. He is looking to secure software engineers and architects for the project.</t>
  </si>
  <si>
    <t>96
Hi Peter, here are some new members in your area!
julie
37 &amp;#183; Three Hills
Sabrina
31 &amp;#183; Calgary
Anita
24 &amp;#183; Calgary
Seeking Member
27 &amp;#183; Calgary
Seeking Member
33 &amp;#183; Olds
Kelsie
35 &amp;#183; Red Deer
Search for More
| 
Do not share any personal information (credit card info, bank account, address, etc.) with anyone under any circumstances. Never disclose your personal banking information, including account numbers or passwords.
| | 
| 
Unsubscribe
| 
| | 
© 2005 - 2026 Seeking in conjunction with Reflex Media – All rights reserved.
W8Tech Cyprus Limited, IRAKLEOUS 2, FLAT/OFFICE 101 2320 NICOSIA, CYPRUS
|</t>
  </si>
  <si>
    <t>2026-07-30T13:01:41.000Z</t>
  </si>
  <si>
    <t>This is a test email sent via Anonymousemail to verify end-to-end task creation functionality.</t>
  </si>
  <si>
    <t>No response is required as this is an automated marketing communication.</t>
  </si>
  <si>
    <t>2026-08-04T23:25:57.113Z</t>
  </si>
  <si>
    <t>Incoming Email from Darragh Hurley</t>
  </si>
  <si>
    <t>2026-08-04T23:25:57.590Z</t>
  </si>
  <si>
    <t>TSK00019</t>
  </si>
  <si>
    <t>19fc5240ff7770b0</t>
  </si>
  <si>
    <t>Created new customer Darragh Hurley</t>
  </si>
  <si>
    <t>EM0010</t>
  </si>
  <si>
    <t>CST0007</t>
  </si>
  <si>
    <t>2026-08-04T23:27:22.083Z</t>
  </si>
  <si>
    <t>EP004</t>
  </si>
  <si>
    <t>2026-08-03T01:01:42.000Z</t>
  </si>
  <si>
    <t>Arrange discovery call for Sarah Nolan's sales analytics dashboard request.</t>
  </si>
  <si>
    <t>2026-08-04T23:27:23.383Z</t>
  </si>
  <si>
    <t>New Task Created for EmailEM0009</t>
  </si>
  <si>
    <t>2026-08-04T23:27:28.494Z</t>
  </si>
  <si>
    <t>19fcefbf21d5ecb2</t>
  </si>
  <si>
    <t>Discovery call booked.</t>
  </si>
  <si>
    <t>David Trainer has been assigned TSK00018</t>
  </si>
  <si>
    <t>Anonymousemail</t>
  </si>
  <si>
    <t>noreply@anonymousemail.eu</t>
  </si>
  <si>
    <t>All servers down - FIX ASAP</t>
  </si>
  <si>
    <t>2026-08-05T18:48:02.575Z</t>
  </si>
  <si>
    <t xml:space="preserve">Powered by Anonymousemail
Hi team,
All of the servers are currently down. We need someone to look into this problem and fix it immediately.
Thanks,
Janice
</t>
  </si>
  <si>
    <t>Task Completed</t>
  </si>
  <si>
    <t>2026-08-04T22:54:04.000Z</t>
  </si>
  <si>
    <t>Hi Janice,
Thank you for bringing this to our attention. Our technical team is immediately investigating this server outage to restore services as quickly as possible. We will keep you updated on our progress.
Best regards,
Operations Team</t>
  </si>
  <si>
    <t>TSK00020</t>
  </si>
  <si>
    <t>2026-08-05T18:48:03.629Z</t>
  </si>
  <si>
    <t>EM0011</t>
  </si>
  <si>
    <t>CST0008</t>
  </si>
  <si>
    <t>Verify payment for invoice INV-884 and confirm receipt to Michael Chen.</t>
  </si>
  <si>
    <t>19fcf1613efdffdf</t>
  </si>
  <si>
    <t>Low</t>
  </si>
  <si>
    <t>This is a test</t>
  </si>
  <si>
    <t xml:space="preserve">Powered by Anonymousemail
Test email but I need it to create a task as well to run a full end-to-end test
</t>
  </si>
  <si>
    <t>2026-08-04T23:22:37.000Z</t>
  </si>
  <si>
    <t>Payment matched.</t>
  </si>
  <si>
    <t>Thank you for your email. We have successfully received your test message, and the system is operating as expected.</t>
  </si>
  <si>
    <t>TSK00021</t>
  </si>
  <si>
    <t>EM0012</t>
  </si>
  <si>
    <t>19fcf18d32f33ab5</t>
  </si>
  <si>
    <t>CST0009</t>
  </si>
  <si>
    <t>19fcf17ea616c2f5</t>
  </si>
  <si>
    <t>Investigate Priya Shah's locked client portal account and restore access.</t>
  </si>
  <si>
    <t>darraghhurleycanada@gmail.com</t>
  </si>
  <si>
    <t>New website design</t>
  </si>
  <si>
    <t>High</t>
  </si>
  <si>
    <t xml:space="preserve">Hi team,
We are planning on creating a new website for the cloud team. We are
looking for some software engineers and architects to build it for us from
scratch. Can we please book in a meeting this week to discuss.
Thank you,
Darragh
</t>
  </si>
  <si>
    <t>2026-08-04T23:25:38.000Z</t>
  </si>
  <si>
    <t>Hi Darragh,
Thank you for reaching out. We would be delighted to discuss this project with you and help assemble the right team of software engineers and architects for your new website.
Could you please share your availability for a brief meeting this week? Alternatively, let me know if there is a specific day and time that works best for you, and I will send over a calendar invitation.
Best regards,
[Your Name]
[Your Title]</t>
  </si>
  <si>
    <t>Account unlocked.</t>
  </si>
  <si>
    <t>demo-msg-0010</t>
  </si>
  <si>
    <t>demo-thread-0010</t>
  </si>
  <si>
    <t>TSK00022</t>
  </si>
  <si>
    <t>Sarah Nolan</t>
  </si>
  <si>
    <t>sarah.nolan@example.com</t>
  </si>
  <si>
    <t>EM0014</t>
  </si>
  <si>
    <t>Request for analytics dashboard</t>
  </si>
  <si>
    <t>Hi team, could we arrange a call about building a dashboard for our monthly sales reporting?</t>
  </si>
  <si>
    <t>CST0010</t>
  </si>
  <si>
    <t>Customer enquiry</t>
  </si>
  <si>
    <t>Send Tom Gallagher an update on the website redesign proposal.</t>
  </si>
  <si>
    <t>Sarah wants to discuss a sales reporting dashboard and arrange a call.</t>
  </si>
  <si>
    <t>Hi Sarah, thanks for getting in touch. We would be happy to discuss your dashboard requirements. Please send over a few suitable times for a call.</t>
  </si>
  <si>
    <t>Proposal sent.</t>
  </si>
  <si>
    <t>demo-msg-0011</t>
  </si>
  <si>
    <t>demo-thread-0011</t>
  </si>
  <si>
    <t>Michael Chen</t>
  </si>
  <si>
    <t>michael.chen@example.com</t>
  </si>
  <si>
    <t>TSK00023</t>
  </si>
  <si>
    <t>Invoice INV-884 payment confirmation</t>
  </si>
  <si>
    <t>EM0015</t>
  </si>
  <si>
    <t>Hi, we paid invoice INV-884 this morning by bank transfer. Can you confirm receipt?</t>
  </si>
  <si>
    <t>CST0011</t>
  </si>
  <si>
    <t>Invoice</t>
  </si>
  <si>
    <t>Review delayed outage support response and prepare incident explanation for Emma Clarke.</t>
  </si>
  <si>
    <t>Michael advises invoice INV-884 has been paid and requests confirmation.</t>
  </si>
  <si>
    <t>Thanks Michael. We will verify the payment and confirm once it has been matched to the invoice.</t>
  </si>
  <si>
    <t>Incident timeline reviewed.</t>
  </si>
  <si>
    <t>demo-msg-0012</t>
  </si>
  <si>
    <t>demo-thread-0012</t>
  </si>
  <si>
    <t>Priya Shah</t>
  </si>
  <si>
    <t>priya.shah@example.com</t>
  </si>
  <si>
    <t>TSK00024</t>
  </si>
  <si>
    <t>Unable to access client portal</t>
  </si>
  <si>
    <t>I cannot log in to the client portal since this morning. It says my account is locked.</t>
  </si>
  <si>
    <t>EM0017</t>
  </si>
  <si>
    <t>CST0012</t>
  </si>
  <si>
    <t>Existing customer</t>
  </si>
  <si>
    <t>Priya reports a locked client portal account and needs access restored.</t>
  </si>
  <si>
    <t>Prepare initial Azure migration estimate for Daniel Ortiz.</t>
  </si>
  <si>
    <t>Hi Priya, thanks for reporting this. We will check your account status and get back to you shortly.</t>
  </si>
  <si>
    <t>EM0013</t>
  </si>
  <si>
    <t>Waiting on technical environment details.</t>
  </si>
  <si>
    <t>demo-msg-0013</t>
  </si>
  <si>
    <t>demo-thread-0013</t>
  </si>
  <si>
    <t>CST0014</t>
  </si>
  <si>
    <t>Atlas Supplies</t>
  </si>
  <si>
    <t>orders@atlassupplies.example</t>
  </si>
  <si>
    <t>Updated hardware price list</t>
  </si>
  <si>
    <t>Please find our updated workstation and monitor pricing for September attached.</t>
  </si>
  <si>
    <t>Supplier</t>
  </si>
  <si>
    <t>TSK00025</t>
  </si>
  <si>
    <t>Customer Name</t>
  </si>
  <si>
    <t>Atlas Supplies sent updated September hardware pricing.</t>
  </si>
  <si>
    <t>EM0018</t>
  </si>
  <si>
    <t>Customer Email</t>
  </si>
  <si>
    <t>First Contact Date</t>
  </si>
  <si>
    <t>Thanks for the updated price list. We have received it and will review it for upcoming orders.</t>
  </si>
  <si>
    <t>Last Contact Date</t>
  </si>
  <si>
    <t>Review KPI definitions supplied by Sarah Nolan and confirm whether requirements are complete.</t>
  </si>
  <si>
    <t>Total Emails</t>
  </si>
  <si>
    <t>Active</t>
  </si>
  <si>
    <t>demo-msg-0014</t>
  </si>
  <si>
    <t>demo-thread-0014</t>
  </si>
  <si>
    <t>Tom Gallagher</t>
  </si>
  <si>
    <t>tom.gallagher@example.com</t>
  </si>
  <si>
    <t>Website project follow-up</t>
  </si>
  <si>
    <t>TSK00026</t>
  </si>
  <si>
    <t>Just checking if you had an update on the proposal for our website redesign.</t>
  </si>
  <si>
    <t>EM0019</t>
  </si>
  <si>
    <t>CST0016</t>
  </si>
  <si>
    <t>Compare Olivia Byrne's disputed invoice against the approved proposal and correct if required.</t>
  </si>
  <si>
    <t>Tom is following up on the outstanding website redesign proposal.</t>
  </si>
  <si>
    <t>Hi Tom, thanks for following up. We are finalising the proposal and will send an update shortly.</t>
  </si>
  <si>
    <t>Invoice corrected.</t>
  </si>
  <si>
    <t>TSK00027</t>
  </si>
  <si>
    <t>EM0020</t>
  </si>
  <si>
    <t>demo-msg-0015</t>
  </si>
  <si>
    <t>Prepare website project kickoff steps and proposed start date for Tom Gallagher.</t>
  </si>
  <si>
    <t>demo-thread-0015</t>
  </si>
  <si>
    <t>Emma Clarke</t>
  </si>
  <si>
    <t>emma.clarke@example.com</t>
  </si>
  <si>
    <t>Complaint about delayed support response</t>
  </si>
  <si>
    <t>We reported an outage yesterday and did not receive a response for four hours. This is not acceptable.</t>
  </si>
  <si>
    <t>Complaint</t>
  </si>
  <si>
    <t>Emma complains about a four-hour delay in response to an outage report.</t>
  </si>
  <si>
    <t>Hi Emma, thank you for raising this. We are reviewing the incident and response timeline as a priority and will follow up with you directly.</t>
  </si>
  <si>
    <t>TSK00028</t>
  </si>
  <si>
    <t>EM0021</t>
  </si>
  <si>
    <t>CST0013</t>
  </si>
  <si>
    <t>Arrange discovery call for Rachel Kim's Microsoft 365 security assessment enquiry.</t>
  </si>
  <si>
    <t>EM0016</t>
  </si>
  <si>
    <t>demo-msg-0016</t>
  </si>
  <si>
    <t>demo-thread-0016</t>
  </si>
  <si>
    <t>CST0015</t>
  </si>
  <si>
    <t>Northline Hosting</t>
  </si>
  <si>
    <t>support@northlinehosting.example</t>
  </si>
  <si>
    <t>Scheduled maintenance notice</t>
  </si>
  <si>
    <t>We will perform routine maintenance on Saturday from 01:00 to 03:00 UTC. No action is required.</t>
  </si>
  <si>
    <t>TSK00029</t>
  </si>
  <si>
    <t>EM0023</t>
  </si>
  <si>
    <t>Northline Hosting advises of scheduled maintenance with no customer action required.</t>
  </si>
  <si>
    <t>Schedule incident review meeting with Emma Clarke and prepare escalation process summary.</t>
  </si>
  <si>
    <t>Thank you for the notice. We have recorded the maintenance window.</t>
  </si>
  <si>
    <t>Error</t>
  </si>
  <si>
    <t>Waiting</t>
  </si>
  <si>
    <t>Daniel Ortiz</t>
  </si>
  <si>
    <t>daniel.ortiz@example.com</t>
  </si>
  <si>
    <t>Meeting agenda drafted.</t>
  </si>
  <si>
    <t>demo-msg-0017</t>
  </si>
  <si>
    <t>demo-thread-0017</t>
  </si>
  <si>
    <t>Rachel Kim</t>
  </si>
  <si>
    <t>TSK00030</t>
  </si>
  <si>
    <t>rachel.kim@example.com</t>
  </si>
  <si>
    <t>EM0024</t>
  </si>
  <si>
    <t>CST0017</t>
  </si>
  <si>
    <t>Need quote for cloud migration</t>
  </si>
  <si>
    <t>Map James Doyle's manual form approval process and prepare automation discovery questions.</t>
  </si>
  <si>
    <t>We are considering moving around 20 virtual machines to Azure and would like an initial estimate.</t>
  </si>
  <si>
    <t>Daniel requests an estimate for migrating approximately 20 virtual machines to Azure.</t>
  </si>
  <si>
    <t>In Progress</t>
  </si>
  <si>
    <t>Hi Daniel, thanks for reaching out. We can help scope the migration and provide an estimate. Could you share your current environment and preferred timeline?</t>
  </si>
  <si>
    <t>TSK00031</t>
  </si>
  <si>
    <t>EM0025</t>
  </si>
  <si>
    <t>demo-msg-0018</t>
  </si>
  <si>
    <t>Olivia Byrne</t>
  </si>
  <si>
    <t>demo-thread-0018</t>
  </si>
  <si>
    <t>olivia.byrne@example.com</t>
  </si>
  <si>
    <t>Update delivery tracking for delayed supplier order 4457 and assess project impact.</t>
  </si>
  <si>
    <t>Re: analytics dashboard requirements</t>
  </si>
  <si>
    <t>Attached are the KPI definitions we discussed. Can you confirm these are enough to begin?</t>
  </si>
  <si>
    <t>James Doyle</t>
  </si>
  <si>
    <t>james.doyle@example.com</t>
  </si>
  <si>
    <t>Sarah provided KPI definitions for the dashboard project and requests confirmation.</t>
  </si>
  <si>
    <t>Delivery date updated.</t>
  </si>
  <si>
    <t>CST0018</t>
  </si>
  <si>
    <t>Hi Sarah, thanks for sending these through. We will review the KPI definitions and confirm whether anything else is needed.</t>
  </si>
  <si>
    <t>Nora Walsh</t>
  </si>
  <si>
    <t>nora.walsh@example.com</t>
  </si>
  <si>
    <t>TSK00032</t>
  </si>
  <si>
    <t>EM0026</t>
  </si>
  <si>
    <t>demo-msg-0019</t>
  </si>
  <si>
    <t>demo-thread-0019</t>
  </si>
  <si>
    <t>Verify INV-884 status and stop duplicate payment reminders for Michael Chen.</t>
  </si>
  <si>
    <t>Invoice total looks incorrect</t>
  </si>
  <si>
    <t>Our invoice is €450 higher than the amount agreed in the proposal. Could someone review it?</t>
  </si>
  <si>
    <t>Olivia disputes an invoice that is €450 above the agreed proposal amount.</t>
  </si>
  <si>
    <t>Hi Olivia, thanks for flagging this. We will compare the invoice against the approved proposal and get back to you as soon as possible.</t>
  </si>
  <si>
    <t>TSK00033</t>
  </si>
  <si>
    <t>EM0028</t>
  </si>
  <si>
    <t>demo-msg-0020</t>
  </si>
  <si>
    <t>demo-thread-0020</t>
  </si>
  <si>
    <t>Investigate finance shared drive outage and restore access as an urgent incident.</t>
  </si>
  <si>
    <t>Re: website proposal approved</t>
  </si>
  <si>
    <t>The proposal looks good and is approved. What are the next steps?</t>
  </si>
  <si>
    <t>Tom confirms approval of the website proposal and asks for next steps.</t>
  </si>
  <si>
    <t>Incident escalated.</t>
  </si>
  <si>
    <t>Great, thank you Tom. We will prepare the project kickoff details and proposed start date and send them over shortly.</t>
  </si>
  <si>
    <t>TSK00034</t>
  </si>
  <si>
    <t>EM0029</t>
  </si>
  <si>
    <t>Schedule technical discovery session for Daniel Ortiz's Azure migration.</t>
  </si>
  <si>
    <t>demo-msg-0021</t>
  </si>
  <si>
    <t>demo-thread-0021</t>
  </si>
  <si>
    <t>Security assessment enquiry</t>
  </si>
  <si>
    <t>Do you provide security assessments for Microsoft 365 environments? We have around 80 users.</t>
  </si>
  <si>
    <t>TSK00035</t>
  </si>
  <si>
    <t>EM0031</t>
  </si>
  <si>
    <t>Rachel asks about a Microsoft 365 security assessment for an 80-user organisation.</t>
  </si>
  <si>
    <t>Send Tuesday afternoon calendar invitation to James Doyle for automation discovery meeting.</t>
  </si>
  <si>
    <t>Hi Rachel, yes, we can help assess Microsoft 365 security. We would be happy to arrange a discovery call to understand your environment and priorities.</t>
  </si>
  <si>
    <t>EM0022</t>
  </si>
  <si>
    <t>demo-msg-0022</t>
  </si>
  <si>
    <t>demo-thread-0022</t>
  </si>
  <si>
    <t>Invite sent.</t>
  </si>
  <si>
    <t>Portal access restored</t>
  </si>
  <si>
    <t>Thanks, I can access the portal again now. Everything is working.</t>
  </si>
  <si>
    <t>Priya confirms the portal access issue has been resolved.</t>
  </si>
  <si>
    <t>Glad to hear access is restored. Thanks for confirming.</t>
  </si>
  <si>
    <t>demo-msg-0023</t>
  </si>
  <si>
    <t>demo-thread-0023</t>
  </si>
  <si>
    <t>Request incident review meeting</t>
  </si>
  <si>
    <t>Thanks for the explanation. I would still like a short call to review how future outages will be escalated.</t>
  </si>
  <si>
    <t>Emma requests a call to review future outage escalation procedures.</t>
  </si>
  <si>
    <t>Employee ID</t>
  </si>
  <si>
    <t>Employee Name</t>
  </si>
  <si>
    <t>Hi Emma, of course. We will arrange a review call and walk through the escalation process with you.</t>
  </si>
  <si>
    <t>Phone</t>
  </si>
  <si>
    <t>Role</t>
  </si>
  <si>
    <t>Current Task Count</t>
  </si>
  <si>
    <t>Last Assigned Date</t>
  </si>
  <si>
    <t>Assignment Rank</t>
  </si>
  <si>
    <t>Jake Marshall</t>
  </si>
  <si>
    <t>demo-msg-0024</t>
  </si>
  <si>
    <t>jmarshall@gmail.com</t>
  </si>
  <si>
    <t>demo-thread-0024</t>
  </si>
  <si>
    <t>Busy</t>
  </si>
  <si>
    <t>Software Developer</t>
  </si>
  <si>
    <t>Question about automation services</t>
  </si>
  <si>
    <t>Can you automate approvals from a web form into Teams and email? We currently do this manually.</t>
  </si>
  <si>
    <t>000003-20260905</t>
  </si>
  <si>
    <t>James asks about automating form approvals into Teams and email.</t>
  </si>
  <si>
    <t>Hi James, yes, that workflow can be automated. We would be happy to map the current process and recommend an approach.</t>
  </si>
  <si>
    <t>Donna Rourke</t>
  </si>
  <si>
    <t>drourke@gmail.com</t>
  </si>
  <si>
    <t>Available</t>
  </si>
  <si>
    <t>Head of Finance</t>
  </si>
  <si>
    <t>demo-msg-0025</t>
  </si>
  <si>
    <t>demo-thread-0025</t>
  </si>
  <si>
    <t>000001-20260905</t>
  </si>
  <si>
    <t>Order 4457 delayed</t>
  </si>
  <si>
    <t>Order 4457 will arrive two business days late due to a warehouse issue.</t>
  </si>
  <si>
    <t>David Trainer</t>
  </si>
  <si>
    <t>dtrainer@gmail.com</t>
  </si>
  <si>
    <t>Atlas Supplies advises that order 4457 will be delayed by two business days.</t>
  </si>
  <si>
    <t>Accountant</t>
  </si>
  <si>
    <t>Thanks for the update. We have noted the revised delivery timing.</t>
  </si>
  <si>
    <t>000002-20260905</t>
  </si>
  <si>
    <t>Harry Lewis</t>
  </si>
  <si>
    <t>hlewis@gmail.com</t>
  </si>
  <si>
    <t>Cloud Consultant</t>
  </si>
  <si>
    <t>demo-msg-0026</t>
  </si>
  <si>
    <t>demo-thread-0026</t>
  </si>
  <si>
    <t>000003-20260906</t>
  </si>
  <si>
    <t>Second invoice reminder received</t>
  </si>
  <si>
    <t>We already paid INV-884 but received another reminder today. Can you stop the reminders?</t>
  </si>
  <si>
    <t>Michael received a payment reminder for an invoice he says is already paid.</t>
  </si>
  <si>
    <t>Hi Michael, apologies for the duplicate reminder. We will check the invoice status and ensure further reminders are stopped if payment is confirmed.</t>
  </si>
  <si>
    <t>EM0027</t>
  </si>
  <si>
    <t>demo-msg-0027</t>
  </si>
  <si>
    <t>demo-thread-0027</t>
  </si>
  <si>
    <t>Maintenance completed</t>
  </si>
  <si>
    <t>Saturday maintenance completed successfully. All services are operating normally.</t>
  </si>
  <si>
    <t>Northline Hosting confirms maintenance completed successfully.</t>
  </si>
  <si>
    <t>Thanks for confirming the maintenance was completed successfully.</t>
  </si>
  <si>
    <t>demo-msg-0028</t>
  </si>
  <si>
    <t>demo-thread-0028</t>
  </si>
  <si>
    <t>Urgent: shared drive unavailable</t>
  </si>
  <si>
    <t>Our whole finance team has lost access to the shared drive and month-end files are unavailable.</t>
  </si>
  <si>
    <t>Nora reports a finance-wide shared drive outage affecting month-end work.</t>
  </si>
  <si>
    <t>Hi Nora, we are treating this as urgent and investigating immediately. We will provide an update as soon as we have identified the cause.</t>
  </si>
  <si>
    <t>demo-msg-0029</t>
  </si>
  <si>
    <t>demo-thread-0029</t>
  </si>
  <si>
    <t>Re: cloud migration estimate</t>
  </si>
  <si>
    <t>The estimate works for us. Could we schedule a technical discovery session next week?</t>
  </si>
  <si>
    <t>Daniel accepts the migration estimate and requests a technical discovery session.</t>
  </si>
  <si>
    <t>Hi Daniel, absolutely. We will send a few available times for a technical discovery session next week.</t>
  </si>
  <si>
    <t>EM0030</t>
  </si>
  <si>
    <t>demo-msg-0030</t>
  </si>
  <si>
    <t>demo-thread-0030</t>
  </si>
  <si>
    <t>Revised invoice received</t>
  </si>
  <si>
    <t>Thanks for correcting the invoice. The revised amount is now correct.</t>
  </si>
  <si>
    <t>Olivia confirms the corrected invoice is accurate.</t>
  </si>
  <si>
    <t>Thanks for confirming, Olivia. Glad we could resolve that.</t>
  </si>
  <si>
    <t>Email Categories</t>
  </si>
  <si>
    <t>Email Priority</t>
  </si>
  <si>
    <t>demo-msg-0031</t>
  </si>
  <si>
    <t>demo-thread-0031</t>
  </si>
  <si>
    <t>Email Processing Status</t>
  </si>
  <si>
    <t>Task Status</t>
  </si>
  <si>
    <t>Employee Status</t>
  </si>
  <si>
    <t>Automation discovery meeting</t>
  </si>
  <si>
    <t>Tuesday afternoon works for us. Please send a calendar invite.</t>
  </si>
  <si>
    <t>James confirms Tuesday afternoon for an automation discovery meeting.</t>
  </si>
  <si>
    <t>Perfect, thanks James. We will send a calendar invitation for Tuesday afternoon.</t>
  </si>
  <si>
    <t>New</t>
  </si>
  <si>
    <t>EM0032</t>
  </si>
  <si>
    <t>Processing</t>
  </si>
  <si>
    <t>demo-msg-0032</t>
  </si>
  <si>
    <t>demo-thread-0032</t>
  </si>
  <si>
    <t>Prize Centre</t>
  </si>
  <si>
    <t>winner@fakeprize.example</t>
  </si>
  <si>
    <t>You have won a €5,000 gift card</t>
  </si>
  <si>
    <t>Click this link now to claim your reward before midnight.</t>
  </si>
  <si>
    <t>Away</t>
  </si>
  <si>
    <t>Unsolicited prize message with suspicious call to action.</t>
  </si>
  <si>
    <t>Inactive</t>
  </si>
  <si>
    <t>No response needed</t>
  </si>
  <si>
    <t>No Action Required</t>
  </si>
  <si>
    <t>EM0033</t>
  </si>
  <si>
    <t>demo-msg-0033</t>
  </si>
  <si>
    <t>demo-thread-0033</t>
  </si>
  <si>
    <t>Crypto Growth</t>
  </si>
  <si>
    <t>offers@cryptogrowth.example</t>
  </si>
  <si>
    <t>Double your investment this week</t>
  </si>
  <si>
    <t>Guaranteed returns with our exclusive crypto trading system. Sign up today.</t>
  </si>
  <si>
    <t>Unsolicited promotional email promising unrealistic investment returns.</t>
  </si>
  <si>
    <t>Metric</t>
  </si>
  <si>
    <t>Value</t>
  </si>
  <si>
    <t>All Tasks</t>
  </si>
  <si>
    <t>Assigned Tasks</t>
  </si>
  <si>
    <t>Completed Tasks</t>
  </si>
  <si>
    <t>Cancelled Tasks</t>
  </si>
  <si>
    <t>Emails Processed by AI</t>
  </si>
  <si>
    <t>Tasks Automatically Created</t>
  </si>
  <si>
    <t>Suggested Replies Generated</t>
  </si>
  <si>
    <t>Count</t>
  </si>
  <si>
    <t>Automation Rate</t>
  </si>
  <si>
    <t>Total Emails Received</t>
  </si>
  <si>
    <t>Processed Successfully</t>
  </si>
  <si>
    <t>Tasks Identified</t>
  </si>
  <si>
    <t>Spam Filtered</t>
  </si>
  <si>
    <t>Processing Errors</t>
  </si>
  <si>
    <t>Current Workload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</si>
</sst>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yyyy-mm-dd"/>
    <numFmt numFmtId="166" formatCode="yyyy-mm-dd h:mm"/>
  </numFmts>
  <fonts count="4">
    <font>
      <sz val="10.0"/>
      <color rgb="FF000000"/>
      <name val="Arial"/>
      <scheme val="minor"/>
    </font>
    <font>
      <color theme="1"/>
      <name val="Arial"/>
      <scheme val="minor"/>
    </font>
    <font>
      <sz val="11.0"/>
      <color rgb="FF000000"/>
      <name val="Carlito"/>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2" numFmtId="165" xfId="0" applyAlignment="1" applyFont="1" applyNumberFormat="1">
      <alignment readingOrder="0" shrinkToFit="0" vertical="bottom" wrapText="0"/>
    </xf>
    <xf borderId="0" fillId="0" fontId="2" numFmtId="166" xfId="0" applyAlignment="1" applyFont="1" applyNumberFormat="1">
      <alignment readingOrder="0" shrinkToFit="0" vertical="bottom" wrapText="0"/>
    </xf>
    <xf borderId="0" fillId="0" fontId="2" numFmtId="164"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readingOrder="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Font="1"/>
    <xf borderId="0" fillId="0" fontId="1" numFmtId="0" xfId="0" applyAlignment="1" applyFont="1">
      <alignment readingOrder="0"/>
    </xf>
    <xf borderId="0" fillId="0" fontId="2" numFmtId="0" xfId="0" applyAlignment="1" applyFont="1">
      <alignment readingOrder="0" vertical="bottom"/>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4">
    <tableStyle count="4" pivot="0" name="Emails-style">
      <tableStyleElement dxfId="1" type="headerRow"/>
      <tableStyleElement dxfId="2" type="firstRowStripe"/>
      <tableStyleElement dxfId="3" type="secondRowStripe"/>
      <tableStyleElement dxfId="4" size="0" type="wholeTable"/>
    </tableStyle>
    <tableStyle count="4" pivot="0" name="Activity Log-style">
      <tableStyleElement dxfId="1" type="headerRow"/>
      <tableStyleElement dxfId="2" type="firstRowStripe"/>
      <tableStyleElement dxfId="3" type="secondRowStripe"/>
      <tableStyleElement dxfId="4" size="0" type="wholeTable"/>
    </tableStyle>
    <tableStyle count="4" pivot="0" name="Tasks-style">
      <tableStyleElement dxfId="1" type="headerRow"/>
      <tableStyleElement dxfId="2" type="firstRowStripe"/>
      <tableStyleElement dxfId="3" type="secondRowStripe"/>
      <tableStyleElement dxfId="4" size="0" type="wholeTable"/>
    </tableStyle>
    <tableStyle count="4" pivot="0" name="Customers-style">
      <tableStyleElement dxfId="1" type="headerRow"/>
      <tableStyleElement dxfId="2" type="firstRowStripe"/>
      <tableStyleElement dxfId="3" type="secondRowStripe"/>
      <tableStyleElement dxfId="4" size="0" type="wholeTable"/>
    </tableStyle>
    <tableStyle count="4" pivot="0" name="Employees-style">
      <tableStyleElement dxfId="1" type="headerRow"/>
      <tableStyleElement dxfId="2" type="firstRowStripe"/>
      <tableStyleElement dxfId="3" type="secondRowStripe"/>
      <tableStyleElement dxfId="4" size="0" type="wholeTable"/>
    </tableStyle>
    <tableStyle count="4" pivot="0" name="Settings-style">
      <tableStyleElement dxfId="1" type="headerRow"/>
      <tableStyleElement dxfId="2" type="firstRowStripe"/>
      <tableStyleElement dxfId="3" type="secondRowStripe"/>
      <tableStyleElement dxfId="4" size="0" type="wholeTable"/>
    </tableStyle>
    <tableStyle count="4" pivot="0" name="Settings-style 2">
      <tableStyleElement dxfId="1" type="headerRow"/>
      <tableStyleElement dxfId="2" type="firstRowStripe"/>
      <tableStyleElement dxfId="3" type="secondRowStripe"/>
      <tableStyleElement dxfId="4" size="0" type="wholeTable"/>
    </tableStyle>
    <tableStyle count="4" pivot="0" name="Settings-style 3">
      <tableStyleElement dxfId="1" type="headerRow"/>
      <tableStyleElement dxfId="2" type="firstRowStripe"/>
      <tableStyleElement dxfId="3" type="secondRowStripe"/>
      <tableStyleElement dxfId="4" size="0" type="wholeTable"/>
    </tableStyle>
    <tableStyle count="4" pivot="0" name="Settings-style 4">
      <tableStyleElement dxfId="1" type="headerRow"/>
      <tableStyleElement dxfId="2" type="firstRowStripe"/>
      <tableStyleElement dxfId="3" type="secondRowStripe"/>
      <tableStyleElement dxfId="4" size="0" type="wholeTable"/>
    </tableStyle>
    <tableStyle count="4" pivot="0" name="Settings-style 5">
      <tableStyleElement dxfId="1" type="headerRow"/>
      <tableStyleElement dxfId="2" type="firstRowStripe"/>
      <tableStyleElement dxfId="3" type="secondRowStripe"/>
      <tableStyleElement dxfId="4" size="0" type="wholeTable"/>
    </tableStyle>
    <tableStyle count="4" pivot="0" name="Dashboard-style">
      <tableStyleElement dxfId="1" type="headerRow"/>
      <tableStyleElement dxfId="2" type="firstRowStripe"/>
      <tableStyleElement dxfId="3" type="secondRowStripe"/>
      <tableStyleElement dxfId="4" size="0" type="wholeTable"/>
    </tableStyle>
    <tableStyle count="4" pivot="0" name="Dashboard-style 2">
      <tableStyleElement dxfId="1" type="headerRow"/>
      <tableStyleElement dxfId="2" type="firstRowStripe"/>
      <tableStyleElement dxfId="3" type="secondRowStripe"/>
      <tableStyleElement dxfId="4" size="0" type="wholeTable"/>
    </tableStyle>
    <tableStyle count="4" pivot="0" name="Dashboard-style 3">
      <tableStyleElement dxfId="1" type="headerRow"/>
      <tableStyleElement dxfId="2" type="firstRowStripe"/>
      <tableStyleElement dxfId="3" type="secondRowStripe"/>
      <tableStyleElement dxfId="4" size="0" type="wholeTable"/>
    </tableStyle>
    <tableStyle count="4" pivot="0" name="Dashboard-style 4">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Employee Workload</a:t>
            </a:r>
          </a:p>
        </c:rich>
      </c:tx>
      <c:overlay val="0"/>
    </c:title>
    <c:plotArea>
      <c:layout/>
      <c:barChart>
        <c:barDir val="col"/>
        <c:ser>
          <c:idx val="0"/>
          <c:order val="0"/>
          <c:spPr>
            <a:solidFill>
              <a:schemeClr val="accent1"/>
            </a:solidFill>
            <a:ln cmpd="sng">
              <a:noFill/>
            </a:ln>
          </c:spPr>
          <c:cat>
            <c:strRef>
              <c:f>Dashboard!$P$15:$P$18</c:f>
            </c:strRef>
          </c:cat>
          <c:val>
            <c:numRef>
              <c:f>Dashboard!$Q$15:$Q$18</c:f>
              <c:numCache/>
            </c:numRef>
          </c:val>
        </c:ser>
        <c:axId val="438915254"/>
        <c:axId val="318449848"/>
      </c:barChart>
      <c:catAx>
        <c:axId val="438915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8449848"/>
      </c:catAx>
      <c:valAx>
        <c:axId val="318449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891525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Task Status</a:t>
            </a:r>
          </a:p>
        </c:rich>
      </c:tx>
      <c:overlay val="0"/>
    </c:title>
    <c:plotArea>
      <c:layout/>
      <c:barChart>
        <c:barDir val="bar"/>
        <c:ser>
          <c:idx val="0"/>
          <c:order val="0"/>
          <c:tx>
            <c:strRef>
              <c:f>Dashboard!$P$1</c:f>
            </c:strRef>
          </c:tx>
          <c:spPr>
            <a:solidFill>
              <a:schemeClr val="accent1"/>
            </a:solidFill>
            <a:ln cmpd="sng">
              <a:noFill/>
            </a:ln>
          </c:spPr>
          <c:val>
            <c:numRef>
              <c:f>Dashboard!$P$2</c:f>
              <c:numCache/>
            </c:numRef>
          </c:val>
        </c:ser>
        <c:ser>
          <c:idx val="1"/>
          <c:order val="1"/>
          <c:tx>
            <c:strRef>
              <c:f>Dashboard!$Q$1</c:f>
            </c:strRef>
          </c:tx>
          <c:spPr>
            <a:solidFill>
              <a:schemeClr val="accent2"/>
            </a:solidFill>
            <a:ln cmpd="sng">
              <a:noFill/>
            </a:ln>
          </c:spPr>
          <c:val>
            <c:numRef>
              <c:f>Dashboard!$Q$2</c:f>
              <c:numCache/>
            </c:numRef>
          </c:val>
        </c:ser>
        <c:ser>
          <c:idx val="2"/>
          <c:order val="2"/>
          <c:tx>
            <c:strRef>
              <c:f>Dashboard!$R$1</c:f>
            </c:strRef>
          </c:tx>
          <c:spPr>
            <a:solidFill>
              <a:schemeClr val="accent3"/>
            </a:solidFill>
            <a:ln cmpd="sng">
              <a:noFill/>
            </a:ln>
          </c:spPr>
          <c:val>
            <c:numRef>
              <c:f>Dashboard!$R$2</c:f>
              <c:numCache/>
            </c:numRef>
          </c:val>
        </c:ser>
        <c:ser>
          <c:idx val="3"/>
          <c:order val="3"/>
          <c:tx>
            <c:strRef>
              <c:f>Dashboard!$S$1</c:f>
            </c:strRef>
          </c:tx>
          <c:spPr>
            <a:solidFill>
              <a:schemeClr val="accent4"/>
            </a:solidFill>
            <a:ln cmpd="sng">
              <a:noFill/>
            </a:ln>
          </c:spPr>
          <c:val>
            <c:numRef>
              <c:f>Dashboard!$S$2</c:f>
              <c:numCache/>
            </c:numRef>
          </c:val>
        </c:ser>
        <c:ser>
          <c:idx val="4"/>
          <c:order val="4"/>
          <c:tx>
            <c:strRef>
              <c:f>Dashboard!$T$1</c:f>
            </c:strRef>
          </c:tx>
          <c:spPr>
            <a:solidFill>
              <a:schemeClr val="accent5"/>
            </a:solidFill>
            <a:ln cmpd="sng">
              <a:noFill/>
            </a:ln>
          </c:spPr>
          <c:val>
            <c:numRef>
              <c:f>Dashboard!$T$2</c:f>
              <c:numCache/>
            </c:numRef>
          </c:val>
        </c:ser>
        <c:ser>
          <c:idx val="5"/>
          <c:order val="5"/>
          <c:tx>
            <c:strRef>
              <c:f>Dashboard!$U$1</c:f>
            </c:strRef>
          </c:tx>
          <c:spPr>
            <a:solidFill>
              <a:schemeClr val="accent6"/>
            </a:solidFill>
            <a:ln cmpd="sng">
              <a:noFill/>
            </a:ln>
          </c:spPr>
          <c:val>
            <c:numRef>
              <c:f>Dashboard!$U$2</c:f>
              <c:numCache/>
            </c:numRef>
          </c:val>
        </c:ser>
        <c:axId val="1871388520"/>
        <c:axId val="1176665414"/>
      </c:barChart>
      <c:catAx>
        <c:axId val="187138852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6665414"/>
      </c:catAx>
      <c:valAx>
        <c:axId val="11766654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138852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0</xdr:rowOff>
    </xdr:from>
    <xdr:ext cx="3533775" cy="2190750"/>
    <xdr:pic>
      <xdr:nvPicPr>
        <xdr:cNvPr id="73597049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9525</xdr:rowOff>
    </xdr:from>
    <xdr:ext cx="3533775" cy="21907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7</xdr:row>
      <xdr:rowOff>190500</xdr:rowOff>
    </xdr:from>
    <xdr:ext cx="3629025" cy="22383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F1:G7" displayName="AI_Automation" name="AI_Automation" id="11">
  <tableColumns count="2">
    <tableColumn name="Metric" id="1"/>
    <tableColumn name="Value" id="2"/>
  </tableColumns>
  <tableStyleInfo name="Dashboard-style" showColumnStripes="0" showFirstColumn="1" showLastColumn="1" showRowStripes="1"/>
</table>
</file>

<file path=xl/tables/table2.xml><?xml version="1.0" encoding="utf-8"?>
<table xmlns="http://schemas.openxmlformats.org/spreadsheetml/2006/main" ref="P1:U2" displayName="Task_Count" name="Task_Count" id="12">
  <tableColumns count="6">
    <tableColumn name="All Tasks" id="1"/>
    <tableColumn name="Assigned Tasks" id="2"/>
    <tableColumn name="In Progress" id="3"/>
    <tableColumn name="Waiting" id="4"/>
    <tableColumn name="Completed Tasks" id="5"/>
    <tableColumn name="Cancelled Tasks" id="6"/>
  </tableColumns>
  <tableStyleInfo name="Dashboard-style 2" showColumnStripes="0" showFirstColumn="1" showLastColumn="1" showRowStripes="1"/>
</table>
</file>

<file path=xl/tables/table3.xml><?xml version="1.0" encoding="utf-8"?>
<table xmlns="http://schemas.openxmlformats.org/spreadsheetml/2006/main" ref="P4:Q10" displayName="Category_count" name="Category_count" id="13">
  <tableColumns count="2">
    <tableColumn name="Email Categories" id="1"/>
    <tableColumn name="Count" id="2"/>
  </tableColumns>
  <tableStyleInfo name="Dashboard-style 3" showColumnStripes="0" showFirstColumn="1" showLastColumn="1" showRowStripes="1"/>
</table>
</file>

<file path=xl/tables/table4.xml><?xml version="1.0" encoding="utf-8"?>
<table xmlns="http://schemas.openxmlformats.org/spreadsheetml/2006/main" ref="D12:H13" displayName="Email_Breakdown" name="Email_Breakdown" id="14">
  <tableColumns count="5">
    <tableColumn name="Total Emails Received" id="1"/>
    <tableColumn name="Processed Successfully" id="2"/>
    <tableColumn name="Tasks Identified" id="3"/>
    <tableColumn name="Spam Filtered" id="4"/>
    <tableColumn name="Processing Errors" id="5"/>
  </tableColumns>
  <tableStyleInfo name="Dashboard-style 4" showColumnStripes="0" showFirstColumn="1" showLastColumn="1" showRowStripes="1"/>
</table>
</file>

<file path=xl/tables/table5.xml><?xml version="1.0" encoding="utf-8"?>
<table xmlns="http://schemas.openxmlformats.org/spreadsheetml/2006/main" ref="A1:O33" displayName="Emails" name="Emails" id="1">
  <tableColumns count="15">
    <tableColumn name="Email ID" id="1"/>
    <tableColumn name="Gmail Message ID" id="2"/>
    <tableColumn name="Thread ID" id="3"/>
    <tableColumn name="Customer ID" id="4"/>
    <tableColumn name="Sender Name" id="5"/>
    <tableColumn name="Sender Email" id="6"/>
    <tableColumn name="Email Title" id="7"/>
    <tableColumn name="Email Body" id="8"/>
    <tableColumn name="Received Date" id="9"/>
    <tableColumn name="Category" id="10"/>
    <tableColumn name="Summary" id="11"/>
    <tableColumn name="Priority" id="12"/>
    <tableColumn name="Suggested Reply" id="13"/>
    <tableColumn name="Task Required" id="14"/>
    <tableColumn name="Processing status" id="15"/>
  </tableColumns>
  <tableStyleInfo name="Emails-style" showColumnStripes="0" showFirstColumn="1" showLastColumn="1" showRowStripes="1"/>
</table>
</file>

<file path=xl/tables/table6.xml><?xml version="1.0" encoding="utf-8"?>
<table xmlns="http://schemas.openxmlformats.org/spreadsheetml/2006/main" ref="A1:H22" displayName="Logs" name="Logs" id="3">
  <tableColumns count="8">
    <tableColumn name="Timestamp" id="1"/>
    <tableColumn name="Action Type" id="2"/>
    <tableColumn name="Entity ID" id="3"/>
    <tableColumn name="Entity Type" id="4"/>
    <tableColumn name="Description" id="5"/>
    <tableColumn name="AI Response" id="6"/>
    <tableColumn name="Result" id="7"/>
    <tableColumn name="Error Message" id="8"/>
  </tableColumns>
  <tableStyleInfo name="Activity Log-style" showColumnStripes="0" showFirstColumn="1" showLastColumn="1" showRowStripes="1"/>
</table>
</file>

<file path=xl/tables/table7.xml><?xml version="1.0" encoding="utf-8"?>
<table xmlns="http://schemas.openxmlformats.org/spreadsheetml/2006/main" ref="A1:K22" displayName="Tasks" name="Tasks" id="2">
  <tableColumns count="11">
    <tableColumn name="Task ID" id="1"/>
    <tableColumn name="Email ID" id="2"/>
    <tableColumn name="Customer ID" id="3"/>
    <tableColumn name="Assigned Employee ID" id="4"/>
    <tableColumn name="Description" id="5"/>
    <tableColumn name="Priority" id="6"/>
    <tableColumn name="Created Date" id="7"/>
    <tableColumn name="Due Date" id="8"/>
    <tableColumn name="Status" id="9"/>
    <tableColumn name="Completed Date" id="10"/>
    <tableColumn name="Notes" id="11"/>
  </tableColumns>
  <tableStyleInfo name="Tasks-style" showColumnStripes="0" showFirstColumn="1" showLastColumn="1" showRowStripes="1"/>
</table>
</file>

<file path=xl/tables/table8.xml><?xml version="1.0" encoding="utf-8"?>
<table xmlns="http://schemas.openxmlformats.org/spreadsheetml/2006/main" ref="A1:G18" displayName="Customers" name="Customers" id="4">
  <tableColumns count="7">
    <tableColumn name="Customer ID" id="1"/>
    <tableColumn name="Customer Name" id="2"/>
    <tableColumn name="Customer Email" id="3"/>
    <tableColumn name="First Contact Date" id="4"/>
    <tableColumn name="Last Contact Date" id="5"/>
    <tableColumn name="Status" id="6"/>
    <tableColumn name="Total Emails" id="7"/>
  </tableColumns>
  <tableStyleInfo name="Customers-style" showColumnStripes="0" showFirstColumn="1" showLastColumn="1" showRowStripes="1"/>
</table>
</file>

<file path=xl/tables/table9.xml><?xml version="1.0" encoding="utf-8"?>
<table xmlns="http://schemas.openxmlformats.org/spreadsheetml/2006/main" ref="A1:I5" displayName="Employees" name="Employees" id="5">
  <tableColumns count="9">
    <tableColumn name="Employee ID" id="1"/>
    <tableColumn name="Employee Name" id="2"/>
    <tableColumn name="Email" id="3"/>
    <tableColumn name="Phone" id="4"/>
    <tableColumn name="Status" id="5"/>
    <tableColumn name="Role" id="6"/>
    <tableColumn name="Current Task Count" id="7"/>
    <tableColumn name="Last Assigned Date" id="8"/>
    <tableColumn name="Assignment Rank" id="9"/>
  </tableColumns>
  <tableStyleInfo name="Employees-style" showColumnStripes="0" showFirstColumn="1" showLastColumn="1" showRowStripes="1"/>
</table>
</file>

<file path=xl/tables/table10.xml><?xml version="1.0" encoding="utf-8"?>
<table xmlns="http://schemas.openxmlformats.org/spreadsheetml/2006/main" ref="A1:A7" displayName="Table2" name="Table2" id="6">
  <tableColumns count="1">
    <tableColumn name="Email Categories" id="1"/>
  </tableColumns>
  <tableStyleInfo name="Settings-style" showColumnStripes="0" showFirstColumn="1" showLastColumn="1" showRowStripes="1"/>
</table>
</file>

<file path=xl/tables/table11.xml><?xml version="1.0" encoding="utf-8"?>
<table xmlns="http://schemas.openxmlformats.org/spreadsheetml/2006/main" ref="C1:C6" displayName="Email_Priority" name="Email_Priority" id="7">
  <tableColumns count="1">
    <tableColumn name="Email Priority" id="1"/>
  </tableColumns>
  <tableStyleInfo name="Settings-style 2" showColumnStripes="0" showFirstColumn="1" showLastColumn="1" showRowStripes="1"/>
</table>
</file>

<file path=xl/tables/table12.xml><?xml version="1.0" encoding="utf-8"?>
<table xmlns="http://schemas.openxmlformats.org/spreadsheetml/2006/main" ref="E1:E6" displayName="Processing_Status" name="Processing_Status" id="8">
  <tableColumns count="1">
    <tableColumn name="Email Processing Status" id="1"/>
  </tableColumns>
  <tableStyleInfo name="Settings-style 3" showColumnStripes="0" showFirstColumn="1" showLastColumn="1" showRowStripes="1"/>
</table>
</file>

<file path=xl/tables/table13.xml><?xml version="1.0" encoding="utf-8"?>
<table xmlns="http://schemas.openxmlformats.org/spreadsheetml/2006/main" ref="G1:G7" displayName="Table1" name="Table1" id="9">
  <tableColumns count="1">
    <tableColumn name="Task Status" id="1"/>
  </tableColumns>
  <tableStyleInfo name="Settings-style 4" showColumnStripes="0" showFirstColumn="1" showLastColumn="1" showRowStripes="1"/>
</table>
</file>

<file path=xl/tables/table14.xml><?xml version="1.0" encoding="utf-8"?>
<table xmlns="http://schemas.openxmlformats.org/spreadsheetml/2006/main" ref="I1:I5" displayName="Employee_Status" name="Employee_Status" id="10">
  <tableColumns count="1">
    <tableColumn name="Employee Status" id="1"/>
  </tableColumns>
  <tableStyleInfo name="Settings-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14.xml"/><Relationship Id="rId10" Type="http://schemas.openxmlformats.org/officeDocument/2006/relationships/table" Target="../tables/table13.xml"/><Relationship Id="rId9" Type="http://schemas.openxmlformats.org/officeDocument/2006/relationships/table" Target="../tables/table12.xml"/><Relationship Id="rId7" Type="http://schemas.openxmlformats.org/officeDocument/2006/relationships/table" Target="../tables/table10.xml"/><Relationship Id="rId8"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13"/>
    <col customWidth="1" min="3" max="3" width="19.0"/>
    <col customWidth="1" min="4" max="5" width="17.63"/>
    <col customWidth="1" min="6" max="6" width="21.63"/>
    <col customWidth="1" min="7" max="7" width="13.75"/>
    <col customWidth="1" min="8" max="8" width="23.38"/>
    <col customWidth="1" min="9" max="9" width="18.63"/>
  </cols>
  <sheetData>
    <row r="1" ht="22.5" customHeight="1">
      <c r="F1" s="17" t="s">
        <v>461</v>
      </c>
      <c r="G1" s="17" t="s">
        <v>462</v>
      </c>
      <c r="P1" s="2" t="s">
        <v>463</v>
      </c>
      <c r="Q1" s="2" t="s">
        <v>464</v>
      </c>
      <c r="R1" s="2" t="s">
        <v>295</v>
      </c>
      <c r="S1" s="2" t="s">
        <v>280</v>
      </c>
      <c r="T1" s="1" t="s">
        <v>465</v>
      </c>
      <c r="U1" s="1" t="s">
        <v>466</v>
      </c>
    </row>
    <row r="2" ht="22.5" customHeight="1">
      <c r="F2" s="3" t="s">
        <v>467</v>
      </c>
      <c r="G2" s="18">
        <f>COUNTA(Emails[Email ID])</f>
        <v>32</v>
      </c>
      <c r="I2" s="19"/>
      <c r="P2" s="20">
        <f>COUNTA(Tasks[Task ID])</f>
        <v>21</v>
      </c>
      <c r="Q2" s="20">
        <f>countif(Tasks[Status], "Assigned")</f>
        <v>8</v>
      </c>
      <c r="R2" s="20">
        <f>countif(Tasks[Status], "In Progress")</f>
        <v>2</v>
      </c>
      <c r="S2" s="20">
        <f>countif(Tasks[Status], "Waiting")</f>
        <v>1</v>
      </c>
      <c r="T2" s="20">
        <f>countif(Tasks[Status], "Completed")</f>
        <v>9</v>
      </c>
      <c r="U2" s="20">
        <f>countif(Tasks[Status], "Cancelled")</f>
        <v>1</v>
      </c>
    </row>
    <row r="3" ht="22.5" customHeight="1">
      <c r="F3" s="3" t="s">
        <v>468</v>
      </c>
      <c r="G3" s="18">
        <f>CountIF(Emails[Task Required], "Yes")</f>
        <v>21</v>
      </c>
    </row>
    <row r="4" ht="22.5" customHeight="1">
      <c r="F4" s="3" t="s">
        <v>469</v>
      </c>
      <c r="G4" s="18">
        <f>COUNTIF(Emails[Suggested Reply],"&lt;&gt;")</f>
        <v>30</v>
      </c>
      <c r="P4" s="2" t="s">
        <v>428</v>
      </c>
      <c r="Q4" s="2" t="s">
        <v>470</v>
      </c>
    </row>
    <row r="5" ht="22.5" customHeight="1">
      <c r="F5" s="3" t="s">
        <v>471</v>
      </c>
      <c r="G5" s="18">
        <f>COUNTIF(Emails[Processing status],"Processed")/COUNTA(Emails[Email ID])</f>
        <v>0.96875</v>
      </c>
      <c r="P5" s="20" t="str">
        <f>Settings!A2</f>
        <v>Customer enquiry</v>
      </c>
      <c r="Q5" s="20">
        <f>CountIf(Emails[Category], P5)</f>
        <v>7</v>
      </c>
    </row>
    <row r="6" ht="22.5" customHeight="1">
      <c r="F6" s="21"/>
      <c r="G6" s="22"/>
      <c r="P6" s="20" t="str">
        <f>Settings!A3</f>
        <v>Existing customer</v>
      </c>
      <c r="Q6" s="20">
        <f>CountIf(Emails[Category], P6)</f>
        <v>8</v>
      </c>
    </row>
    <row r="7" ht="22.5" customHeight="1">
      <c r="F7" s="21"/>
      <c r="G7" s="22"/>
      <c r="P7" s="20" t="str">
        <f>Settings!A4</f>
        <v>Invoice</v>
      </c>
      <c r="Q7" s="20">
        <f>CountIf(Emails[Category], P7)</f>
        <v>4</v>
      </c>
    </row>
    <row r="8" ht="22.5" customHeight="1">
      <c r="P8" s="20" t="str">
        <f>Settings!A5</f>
        <v>Supplier</v>
      </c>
      <c r="Q8" s="20">
        <f>CountIf(Emails[Category], P8)</f>
        <v>4</v>
      </c>
    </row>
    <row r="9" ht="22.5" customHeight="1">
      <c r="P9" s="20" t="str">
        <f>Settings!A6</f>
        <v>Complaint</v>
      </c>
      <c r="Q9" s="20">
        <f>CountIf(Emails[Category], P9)</f>
        <v>3</v>
      </c>
    </row>
    <row r="10" ht="22.5" customHeight="1">
      <c r="P10" s="20" t="str">
        <f>Settings!A7</f>
        <v>Spam</v>
      </c>
      <c r="Q10" s="20">
        <f>CountIf(Emails[Category], P10)</f>
        <v>6</v>
      </c>
    </row>
    <row r="12" ht="22.5" customHeight="1">
      <c r="A12" s="23" t="str">
        <f>Settings!A8</f>
        <v/>
      </c>
      <c r="D12" s="2" t="s">
        <v>472</v>
      </c>
      <c r="E12" s="2" t="s">
        <v>473</v>
      </c>
      <c r="F12" s="2" t="s">
        <v>474</v>
      </c>
      <c r="G12" s="1" t="s">
        <v>475</v>
      </c>
      <c r="H12" s="1" t="s">
        <v>476</v>
      </c>
    </row>
    <row r="13" ht="22.5" customHeight="1">
      <c r="A13" s="23" t="str">
        <f>Settings!A9</f>
        <v/>
      </c>
      <c r="D13" s="20">
        <f>COUNTA(Emails[Email ID])</f>
        <v>32</v>
      </c>
      <c r="E13" s="20">
        <f>COUNTIF(Emails[Processing status], "Processed")</f>
        <v>31</v>
      </c>
      <c r="F13" s="20">
        <f>COUNTIF(Emails[Task Required], "Yes")</f>
        <v>21</v>
      </c>
      <c r="G13" s="20">
        <f>COUNTIF(Emails[Category], "Spam")</f>
        <v>6</v>
      </c>
      <c r="H13" s="20">
        <f>COUNTIF(Emails[Processing status], "Error")</f>
        <v>1</v>
      </c>
    </row>
    <row r="14">
      <c r="P14" s="24" t="s">
        <v>359</v>
      </c>
      <c r="Q14" s="24" t="s">
        <v>477</v>
      </c>
    </row>
    <row r="15">
      <c r="P15" s="25" t="s">
        <v>366</v>
      </c>
      <c r="Q15" s="26">
        <f t="array" ref="Q15">_xlfn.XLOOKUP(P15,Employees[Employee Name],Employees[Current Task Count],"")</f>
        <v>3</v>
      </c>
    </row>
    <row r="16">
      <c r="P16" s="25" t="s">
        <v>377</v>
      </c>
      <c r="Q16" s="26">
        <f t="array" ref="Q16">_xlfn.XLOOKUP(P16,Employees[Employee Name],Employees[Current Task Count],"")</f>
        <v>1</v>
      </c>
    </row>
    <row r="17">
      <c r="P17" s="25" t="s">
        <v>386</v>
      </c>
      <c r="Q17" s="26">
        <f t="array" ref="Q17">_xlfn.XLOOKUP(P17,Employees[Employee Name],Employees[Current Task Count],"")</f>
        <v>2</v>
      </c>
    </row>
    <row r="18">
      <c r="P18" s="25" t="s">
        <v>392</v>
      </c>
      <c r="Q18" s="26">
        <f t="array" ref="Q18">_xlfn.XLOOKUP(P18,Employees[Employee Name],Employees[Current Task Count],"")</f>
        <v>3</v>
      </c>
    </row>
  </sheetData>
  <dataValidations>
    <dataValidation type="custom" allowBlank="1" showDropDown="1" sqref="G2:G7">
      <formula1>AND(ISNUMBER(G2),(NOT(OR(NOT(ISERROR(DATEVALUE(G2))), AND(ISNUMBER(G2), LEFT(CELL("format", G2))="D")))))</formula1>
    </dataValidation>
  </dataValidations>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19.0"/>
    <col customWidth="1" min="3" max="3" width="12.63"/>
    <col customWidth="1" min="4" max="4" width="14.75"/>
    <col customWidth="1" min="5" max="5" width="15.5"/>
    <col customWidth="1" min="6" max="6" width="24.13"/>
    <col customWidth="1" min="7" max="7" width="13.25"/>
    <col customWidth="1" min="8" max="8" width="34.75"/>
    <col customWidth="1" min="9" max="9" width="16.0"/>
    <col customWidth="1" min="10" max="10" width="15.38"/>
    <col customWidth="1" min="11" max="11" width="12.63"/>
    <col customWidth="1" min="12" max="12" width="14.0"/>
    <col customWidth="1" min="13" max="13" width="17.88"/>
    <col customWidth="1" min="14" max="14" width="19.25"/>
    <col customWidth="1" min="15" max="15" width="22.13"/>
  </cols>
  <sheetData>
    <row r="1" ht="22.5" customHeight="1">
      <c r="A1" s="2" t="s">
        <v>2</v>
      </c>
      <c r="B1" s="1" t="s">
        <v>5</v>
      </c>
      <c r="C1" s="1" t="s">
        <v>7</v>
      </c>
      <c r="D1" s="1" t="s">
        <v>9</v>
      </c>
      <c r="E1" s="1" t="s">
        <v>12</v>
      </c>
      <c r="F1" s="1" t="s">
        <v>14</v>
      </c>
      <c r="G1" s="2" t="s">
        <v>16</v>
      </c>
      <c r="H1" s="1" t="s">
        <v>18</v>
      </c>
      <c r="I1" s="1" t="s">
        <v>19</v>
      </c>
      <c r="J1" s="2" t="s">
        <v>21</v>
      </c>
      <c r="K1" s="2" t="s">
        <v>22</v>
      </c>
      <c r="L1" s="2" t="s">
        <v>24</v>
      </c>
      <c r="M1" s="2" t="s">
        <v>26</v>
      </c>
      <c r="N1" s="1" t="s">
        <v>27</v>
      </c>
      <c r="O1" s="1" t="s">
        <v>29</v>
      </c>
    </row>
    <row r="2" ht="22.5" customHeight="1">
      <c r="A2" s="3" t="s">
        <v>33</v>
      </c>
      <c r="B2" s="3" t="s">
        <v>37</v>
      </c>
      <c r="C2" s="3" t="s">
        <v>37</v>
      </c>
      <c r="D2" s="3" t="s">
        <v>41</v>
      </c>
      <c r="E2" s="3" t="s">
        <v>43</v>
      </c>
      <c r="F2" s="3" t="s">
        <v>44</v>
      </c>
      <c r="G2" s="3" t="s">
        <v>45</v>
      </c>
      <c r="H2" s="3" t="s">
        <v>47</v>
      </c>
      <c r="I2" s="3" t="s">
        <v>49</v>
      </c>
      <c r="J2" s="5" t="s">
        <v>51</v>
      </c>
      <c r="K2" s="3" t="s">
        <v>50</v>
      </c>
      <c r="L2" s="5" t="s">
        <v>52</v>
      </c>
      <c r="M2" s="3" t="s">
        <v>54</v>
      </c>
      <c r="N2" s="5" t="s">
        <v>56</v>
      </c>
      <c r="O2" s="5" t="s">
        <v>57</v>
      </c>
    </row>
    <row r="3" ht="22.5" customHeight="1">
      <c r="A3" s="3" t="s">
        <v>63</v>
      </c>
      <c r="B3" s="3" t="s">
        <v>66</v>
      </c>
      <c r="C3" s="3" t="s">
        <v>66</v>
      </c>
      <c r="D3" s="3" t="s">
        <v>64</v>
      </c>
      <c r="E3" s="3" t="s">
        <v>43</v>
      </c>
      <c r="F3" s="3" t="s">
        <v>73</v>
      </c>
      <c r="G3" s="3" t="s">
        <v>74</v>
      </c>
      <c r="H3" s="3" t="s">
        <v>75</v>
      </c>
      <c r="I3" s="3" t="s">
        <v>77</v>
      </c>
      <c r="J3" s="5" t="s">
        <v>78</v>
      </c>
      <c r="K3" s="3" t="s">
        <v>71</v>
      </c>
      <c r="L3" s="5" t="s">
        <v>52</v>
      </c>
      <c r="M3" s="3" t="s">
        <v>81</v>
      </c>
      <c r="N3" s="5" t="s">
        <v>56</v>
      </c>
      <c r="O3" s="5" t="s">
        <v>57</v>
      </c>
    </row>
    <row r="4" ht="22.5" customHeight="1">
      <c r="A4" s="3" t="s">
        <v>68</v>
      </c>
      <c r="B4" s="3" t="s">
        <v>87</v>
      </c>
      <c r="C4" s="3" t="s">
        <v>87</v>
      </c>
      <c r="D4" s="3" t="s">
        <v>36</v>
      </c>
      <c r="E4" s="3" t="s">
        <v>90</v>
      </c>
      <c r="F4" s="3" t="s">
        <v>92</v>
      </c>
      <c r="G4" s="3" t="s">
        <v>94</v>
      </c>
      <c r="H4" s="3" t="s">
        <v>96</v>
      </c>
      <c r="I4" s="3" t="s">
        <v>99</v>
      </c>
      <c r="J4" s="5" t="s">
        <v>101</v>
      </c>
      <c r="K4" s="3" t="s">
        <v>72</v>
      </c>
      <c r="L4" s="5" t="s">
        <v>103</v>
      </c>
      <c r="M4" s="3" t="s">
        <v>105</v>
      </c>
      <c r="N4" s="5" t="s">
        <v>106</v>
      </c>
      <c r="O4" s="5" t="s">
        <v>57</v>
      </c>
    </row>
    <row r="5" ht="22.5" customHeight="1">
      <c r="A5" s="3" t="s">
        <v>79</v>
      </c>
      <c r="B5" s="3" t="s">
        <v>113</v>
      </c>
      <c r="C5" s="3" t="s">
        <v>113</v>
      </c>
      <c r="D5" s="3" t="s">
        <v>36</v>
      </c>
      <c r="E5" s="3" t="s">
        <v>90</v>
      </c>
      <c r="F5" s="3" t="s">
        <v>92</v>
      </c>
      <c r="G5" s="3" t="s">
        <v>94</v>
      </c>
      <c r="H5" s="3" t="s">
        <v>120</v>
      </c>
      <c r="I5" s="3" t="s">
        <v>121</v>
      </c>
      <c r="J5" s="5" t="s">
        <v>101</v>
      </c>
      <c r="K5" s="3" t="s">
        <v>82</v>
      </c>
      <c r="L5" s="5" t="s">
        <v>103</v>
      </c>
      <c r="M5" s="3" t="s">
        <v>123</v>
      </c>
      <c r="N5" s="5" t="s">
        <v>106</v>
      </c>
      <c r="O5" s="5" t="s">
        <v>57</v>
      </c>
    </row>
    <row r="6" ht="22.5" customHeight="1">
      <c r="A6" s="3" t="s">
        <v>84</v>
      </c>
      <c r="B6" s="3" t="s">
        <v>128</v>
      </c>
      <c r="C6" s="3" t="s">
        <v>128</v>
      </c>
      <c r="D6" s="3" t="s">
        <v>36</v>
      </c>
      <c r="E6" s="3" t="s">
        <v>90</v>
      </c>
      <c r="F6" s="3" t="s">
        <v>92</v>
      </c>
      <c r="G6" s="3" t="s">
        <v>94</v>
      </c>
      <c r="H6" s="3" t="s">
        <v>120</v>
      </c>
      <c r="I6" s="3" t="s">
        <v>134</v>
      </c>
      <c r="J6" s="5" t="s">
        <v>101</v>
      </c>
      <c r="K6" s="3" t="s">
        <v>85</v>
      </c>
      <c r="L6" s="5" t="s">
        <v>103</v>
      </c>
      <c r="M6" s="3" t="s">
        <v>105</v>
      </c>
      <c r="N6" s="5" t="s">
        <v>106</v>
      </c>
      <c r="O6" s="5" t="s">
        <v>57</v>
      </c>
    </row>
    <row r="7" ht="22.5" customHeight="1">
      <c r="A7" s="3" t="s">
        <v>88</v>
      </c>
      <c r="B7" s="3" t="s">
        <v>139</v>
      </c>
      <c r="C7" s="3" t="s">
        <v>139</v>
      </c>
      <c r="D7" s="3" t="s">
        <v>60</v>
      </c>
      <c r="E7" s="3" t="s">
        <v>142</v>
      </c>
      <c r="F7" s="3" t="s">
        <v>143</v>
      </c>
      <c r="G7" s="3" t="s">
        <v>144</v>
      </c>
      <c r="H7" s="3" t="s">
        <v>146</v>
      </c>
      <c r="I7" s="3" t="s">
        <v>148</v>
      </c>
      <c r="J7" s="5" t="s">
        <v>51</v>
      </c>
      <c r="K7" s="3" t="s">
        <v>91</v>
      </c>
      <c r="L7" s="5" t="s">
        <v>98</v>
      </c>
      <c r="M7" s="3" t="s">
        <v>149</v>
      </c>
      <c r="N7" s="5" t="s">
        <v>56</v>
      </c>
      <c r="O7" s="5" t="s">
        <v>57</v>
      </c>
    </row>
    <row r="8" ht="22.5" customHeight="1">
      <c r="A8" s="3" t="s">
        <v>112</v>
      </c>
      <c r="B8" s="3" t="s">
        <v>155</v>
      </c>
      <c r="C8" s="3" t="s">
        <v>155</v>
      </c>
      <c r="D8" s="3" t="s">
        <v>60</v>
      </c>
      <c r="E8" s="3" t="s">
        <v>142</v>
      </c>
      <c r="F8" s="3" t="s">
        <v>143</v>
      </c>
      <c r="G8" s="3" t="s">
        <v>157</v>
      </c>
      <c r="H8" s="3" t="s">
        <v>158</v>
      </c>
      <c r="I8" s="3" t="s">
        <v>159</v>
      </c>
      <c r="J8" s="5" t="s">
        <v>101</v>
      </c>
      <c r="K8" s="3" t="s">
        <v>122</v>
      </c>
      <c r="L8" s="5" t="s">
        <v>103</v>
      </c>
      <c r="M8" s="3" t="s">
        <v>161</v>
      </c>
      <c r="N8" s="5" t="s">
        <v>106</v>
      </c>
      <c r="O8" s="5" t="s">
        <v>57</v>
      </c>
    </row>
    <row r="9" ht="22.5" customHeight="1">
      <c r="A9" s="3" t="s">
        <v>116</v>
      </c>
      <c r="B9" s="3" t="s">
        <v>164</v>
      </c>
      <c r="C9" s="3" t="s">
        <v>166</v>
      </c>
      <c r="D9" s="3" t="s">
        <v>117</v>
      </c>
      <c r="E9" s="3" t="s">
        <v>43</v>
      </c>
      <c r="F9" s="3" t="s">
        <v>168</v>
      </c>
      <c r="G9" s="3" t="s">
        <v>169</v>
      </c>
      <c r="H9" s="3" t="s">
        <v>171</v>
      </c>
      <c r="I9" s="3" t="s">
        <v>172</v>
      </c>
      <c r="J9" s="5" t="s">
        <v>78</v>
      </c>
      <c r="K9" s="3" t="s">
        <v>119</v>
      </c>
      <c r="L9" s="5" t="s">
        <v>52</v>
      </c>
      <c r="M9" s="3" t="s">
        <v>173</v>
      </c>
      <c r="N9" s="5" t="s">
        <v>56</v>
      </c>
      <c r="O9" s="5" t="s">
        <v>57</v>
      </c>
    </row>
    <row r="10" ht="22.5" customHeight="1">
      <c r="A10" s="7" t="s">
        <v>130</v>
      </c>
      <c r="B10" s="7" t="s">
        <v>175</v>
      </c>
      <c r="C10" s="7" t="s">
        <v>176</v>
      </c>
      <c r="D10" s="7" t="s">
        <v>131</v>
      </c>
      <c r="E10" s="7" t="s">
        <v>178</v>
      </c>
      <c r="F10" s="7" t="s">
        <v>179</v>
      </c>
      <c r="G10" s="7" t="s">
        <v>181</v>
      </c>
      <c r="H10" s="7" t="s">
        <v>182</v>
      </c>
      <c r="I10" s="11">
        <v>46254.385416666664</v>
      </c>
      <c r="J10" s="8" t="s">
        <v>184</v>
      </c>
      <c r="K10" s="7" t="s">
        <v>186</v>
      </c>
      <c r="L10" s="8" t="s">
        <v>52</v>
      </c>
      <c r="M10" s="7" t="s">
        <v>187</v>
      </c>
      <c r="N10" s="8" t="s">
        <v>56</v>
      </c>
      <c r="O10" s="8" t="s">
        <v>57</v>
      </c>
    </row>
    <row r="11" ht="22.5" customHeight="1">
      <c r="A11" s="7" t="s">
        <v>152</v>
      </c>
      <c r="B11" s="7" t="s">
        <v>189</v>
      </c>
      <c r="C11" s="7" t="s">
        <v>190</v>
      </c>
      <c r="D11" s="7" t="s">
        <v>153</v>
      </c>
      <c r="E11" s="7" t="s">
        <v>191</v>
      </c>
      <c r="F11" s="7" t="s">
        <v>192</v>
      </c>
      <c r="G11" s="7" t="s">
        <v>194</v>
      </c>
      <c r="H11" s="7" t="s">
        <v>196</v>
      </c>
      <c r="I11" s="11">
        <v>46256.47222222222</v>
      </c>
      <c r="J11" s="8" t="s">
        <v>198</v>
      </c>
      <c r="K11" s="7" t="s">
        <v>200</v>
      </c>
      <c r="L11" s="8" t="s">
        <v>156</v>
      </c>
      <c r="M11" s="7" t="s">
        <v>201</v>
      </c>
      <c r="N11" s="8" t="s">
        <v>56</v>
      </c>
      <c r="O11" s="8" t="s">
        <v>57</v>
      </c>
    </row>
    <row r="12" ht="22.5" customHeight="1">
      <c r="A12" s="7" t="s">
        <v>163</v>
      </c>
      <c r="B12" s="7" t="s">
        <v>203</v>
      </c>
      <c r="C12" s="7" t="s">
        <v>204</v>
      </c>
      <c r="D12" s="7" t="s">
        <v>165</v>
      </c>
      <c r="E12" s="7" t="s">
        <v>205</v>
      </c>
      <c r="F12" s="7" t="s">
        <v>206</v>
      </c>
      <c r="G12" s="7" t="s">
        <v>208</v>
      </c>
      <c r="H12" s="7" t="s">
        <v>209</v>
      </c>
      <c r="I12" s="11">
        <v>46259.36111111111</v>
      </c>
      <c r="J12" s="8" t="s">
        <v>212</v>
      </c>
      <c r="K12" s="7" t="s">
        <v>213</v>
      </c>
      <c r="L12" s="8" t="s">
        <v>170</v>
      </c>
      <c r="M12" s="7" t="s">
        <v>215</v>
      </c>
      <c r="N12" s="8" t="s">
        <v>56</v>
      </c>
      <c r="O12" s="8" t="s">
        <v>57</v>
      </c>
    </row>
    <row r="13" ht="22.5" customHeight="1">
      <c r="A13" s="7" t="s">
        <v>216</v>
      </c>
      <c r="B13" s="7" t="s">
        <v>218</v>
      </c>
      <c r="C13" s="7" t="s">
        <v>219</v>
      </c>
      <c r="D13" s="7" t="s">
        <v>220</v>
      </c>
      <c r="E13" s="7" t="s">
        <v>221</v>
      </c>
      <c r="F13" s="7" t="s">
        <v>222</v>
      </c>
      <c r="G13" s="7" t="s">
        <v>223</v>
      </c>
      <c r="H13" s="7" t="s">
        <v>224</v>
      </c>
      <c r="I13" s="11">
        <v>46260.586805555555</v>
      </c>
      <c r="J13" s="8" t="s">
        <v>225</v>
      </c>
      <c r="K13" s="7" t="s">
        <v>228</v>
      </c>
      <c r="L13" s="8" t="s">
        <v>103</v>
      </c>
      <c r="M13" s="7" t="s">
        <v>232</v>
      </c>
      <c r="N13" s="8" t="s">
        <v>106</v>
      </c>
      <c r="O13" s="8" t="s">
        <v>57</v>
      </c>
    </row>
    <row r="14" ht="22.5" customHeight="1">
      <c r="A14" s="7" t="s">
        <v>180</v>
      </c>
      <c r="B14" s="7" t="s">
        <v>237</v>
      </c>
      <c r="C14" s="7" t="s">
        <v>238</v>
      </c>
      <c r="D14" s="7" t="s">
        <v>183</v>
      </c>
      <c r="E14" s="7" t="s">
        <v>239</v>
      </c>
      <c r="F14" s="7" t="s">
        <v>240</v>
      </c>
      <c r="G14" s="7" t="s">
        <v>241</v>
      </c>
      <c r="H14" s="7" t="s">
        <v>243</v>
      </c>
      <c r="I14" s="11">
        <v>46261.67361111111</v>
      </c>
      <c r="J14" s="8" t="s">
        <v>212</v>
      </c>
      <c r="K14" s="7" t="s">
        <v>247</v>
      </c>
      <c r="L14" s="8" t="s">
        <v>52</v>
      </c>
      <c r="M14" s="7" t="s">
        <v>248</v>
      </c>
      <c r="N14" s="8" t="s">
        <v>56</v>
      </c>
      <c r="O14" s="8" t="s">
        <v>57</v>
      </c>
    </row>
    <row r="15" ht="22.5" customHeight="1">
      <c r="A15" s="7" t="s">
        <v>195</v>
      </c>
      <c r="B15" s="7" t="s">
        <v>252</v>
      </c>
      <c r="C15" s="7" t="s">
        <v>254</v>
      </c>
      <c r="D15" s="7" t="s">
        <v>197</v>
      </c>
      <c r="E15" s="7" t="s">
        <v>255</v>
      </c>
      <c r="F15" s="7" t="s">
        <v>256</v>
      </c>
      <c r="G15" s="7" t="s">
        <v>257</v>
      </c>
      <c r="H15" s="7" t="s">
        <v>258</v>
      </c>
      <c r="I15" s="11">
        <v>46263.4375</v>
      </c>
      <c r="J15" s="8" t="s">
        <v>259</v>
      </c>
      <c r="K15" s="7" t="s">
        <v>260</v>
      </c>
      <c r="L15" s="8" t="s">
        <v>98</v>
      </c>
      <c r="M15" s="7" t="s">
        <v>261</v>
      </c>
      <c r="N15" s="8" t="s">
        <v>56</v>
      </c>
      <c r="O15" s="8" t="s">
        <v>57</v>
      </c>
    </row>
    <row r="16" ht="22.5" customHeight="1">
      <c r="A16" s="7" t="s">
        <v>266</v>
      </c>
      <c r="B16" s="7" t="s">
        <v>267</v>
      </c>
      <c r="C16" s="7" t="s">
        <v>268</v>
      </c>
      <c r="D16" s="7" t="s">
        <v>269</v>
      </c>
      <c r="E16" s="7" t="s">
        <v>270</v>
      </c>
      <c r="F16" s="7" t="s">
        <v>271</v>
      </c>
      <c r="G16" s="7" t="s">
        <v>272</v>
      </c>
      <c r="H16" s="7" t="s">
        <v>273</v>
      </c>
      <c r="I16" s="11">
        <v>46264.75</v>
      </c>
      <c r="J16" s="8" t="s">
        <v>225</v>
      </c>
      <c r="K16" s="7" t="s">
        <v>276</v>
      </c>
      <c r="L16" s="8" t="s">
        <v>103</v>
      </c>
      <c r="M16" s="7" t="s">
        <v>278</v>
      </c>
      <c r="N16" s="8" t="s">
        <v>106</v>
      </c>
      <c r="O16" s="8" t="s">
        <v>279</v>
      </c>
    </row>
    <row r="17" ht="22.5" customHeight="1">
      <c r="A17" s="7" t="s">
        <v>210</v>
      </c>
      <c r="B17" s="7" t="s">
        <v>284</v>
      </c>
      <c r="C17" s="7" t="s">
        <v>285</v>
      </c>
      <c r="D17" s="7" t="s">
        <v>211</v>
      </c>
      <c r="E17" s="7" t="s">
        <v>281</v>
      </c>
      <c r="F17" s="7" t="s">
        <v>282</v>
      </c>
      <c r="G17" s="7" t="s">
        <v>291</v>
      </c>
      <c r="H17" s="7" t="s">
        <v>293</v>
      </c>
      <c r="I17" s="11">
        <v>46266.375</v>
      </c>
      <c r="J17" s="8" t="s">
        <v>184</v>
      </c>
      <c r="K17" s="7" t="s">
        <v>294</v>
      </c>
      <c r="L17" s="8" t="s">
        <v>170</v>
      </c>
      <c r="M17" s="7" t="s">
        <v>296</v>
      </c>
      <c r="N17" s="8" t="s">
        <v>56</v>
      </c>
      <c r="O17" s="8" t="s">
        <v>57</v>
      </c>
    </row>
    <row r="18" ht="22.5" customHeight="1">
      <c r="A18" s="7" t="s">
        <v>229</v>
      </c>
      <c r="B18" s="7" t="s">
        <v>299</v>
      </c>
      <c r="C18" s="7" t="s">
        <v>301</v>
      </c>
      <c r="D18" s="7" t="s">
        <v>131</v>
      </c>
      <c r="E18" s="7" t="s">
        <v>178</v>
      </c>
      <c r="F18" s="7" t="s">
        <v>179</v>
      </c>
      <c r="G18" s="7" t="s">
        <v>304</v>
      </c>
      <c r="H18" s="7" t="s">
        <v>305</v>
      </c>
      <c r="I18" s="11">
        <v>46266.55902777778</v>
      </c>
      <c r="J18" s="8" t="s">
        <v>212</v>
      </c>
      <c r="K18" s="7" t="s">
        <v>308</v>
      </c>
      <c r="L18" s="8" t="s">
        <v>52</v>
      </c>
      <c r="M18" s="7" t="s">
        <v>311</v>
      </c>
      <c r="N18" s="8" t="s">
        <v>56</v>
      </c>
      <c r="O18" s="8" t="s">
        <v>57</v>
      </c>
    </row>
    <row r="19" ht="22.5" customHeight="1">
      <c r="A19" s="7" t="s">
        <v>244</v>
      </c>
      <c r="B19" s="7" t="s">
        <v>316</v>
      </c>
      <c r="C19" s="7" t="s">
        <v>317</v>
      </c>
      <c r="D19" s="7" t="s">
        <v>245</v>
      </c>
      <c r="E19" s="7" t="s">
        <v>300</v>
      </c>
      <c r="F19" s="7" t="s">
        <v>302</v>
      </c>
      <c r="G19" s="7" t="s">
        <v>319</v>
      </c>
      <c r="H19" s="7" t="s">
        <v>320</v>
      </c>
      <c r="I19" s="11">
        <v>46267.40625</v>
      </c>
      <c r="J19" s="8" t="s">
        <v>198</v>
      </c>
      <c r="K19" s="7" t="s">
        <v>321</v>
      </c>
      <c r="L19" s="8" t="s">
        <v>170</v>
      </c>
      <c r="M19" s="7" t="s">
        <v>322</v>
      </c>
      <c r="N19" s="8" t="s">
        <v>56</v>
      </c>
      <c r="O19" s="8" t="s">
        <v>57</v>
      </c>
    </row>
    <row r="20" ht="22.5" customHeight="1">
      <c r="A20" s="7" t="s">
        <v>251</v>
      </c>
      <c r="B20" s="7" t="s">
        <v>325</v>
      </c>
      <c r="C20" s="7" t="s">
        <v>326</v>
      </c>
      <c r="D20" s="7" t="s">
        <v>183</v>
      </c>
      <c r="E20" s="7" t="s">
        <v>239</v>
      </c>
      <c r="F20" s="7" t="s">
        <v>240</v>
      </c>
      <c r="G20" s="7" t="s">
        <v>328</v>
      </c>
      <c r="H20" s="7" t="s">
        <v>329</v>
      </c>
      <c r="I20" s="11">
        <v>46267.631944444445</v>
      </c>
      <c r="J20" s="8" t="s">
        <v>212</v>
      </c>
      <c r="K20" s="7" t="s">
        <v>330</v>
      </c>
      <c r="L20" s="8" t="s">
        <v>52</v>
      </c>
      <c r="M20" s="7" t="s">
        <v>332</v>
      </c>
      <c r="N20" s="8" t="s">
        <v>56</v>
      </c>
      <c r="O20" s="8" t="s">
        <v>57</v>
      </c>
    </row>
    <row r="21" ht="22.5" customHeight="1">
      <c r="A21" s="7" t="s">
        <v>263</v>
      </c>
      <c r="B21" s="7" t="s">
        <v>336</v>
      </c>
      <c r="C21" s="7" t="s">
        <v>337</v>
      </c>
      <c r="D21" s="7" t="s">
        <v>264</v>
      </c>
      <c r="E21" s="7" t="s">
        <v>286</v>
      </c>
      <c r="F21" s="7" t="s">
        <v>288</v>
      </c>
      <c r="G21" s="7" t="s">
        <v>338</v>
      </c>
      <c r="H21" s="7" t="s">
        <v>339</v>
      </c>
      <c r="I21" s="11">
        <v>46267.694444444445</v>
      </c>
      <c r="J21" s="8" t="s">
        <v>184</v>
      </c>
      <c r="K21" s="7" t="s">
        <v>342</v>
      </c>
      <c r="L21" s="8" t="s">
        <v>52</v>
      </c>
      <c r="M21" s="7" t="s">
        <v>344</v>
      </c>
      <c r="N21" s="8" t="s">
        <v>56</v>
      </c>
      <c r="O21" s="8" t="s">
        <v>57</v>
      </c>
    </row>
    <row r="22" ht="22.5" customHeight="1">
      <c r="A22" s="7" t="s">
        <v>345</v>
      </c>
      <c r="B22" s="7" t="s">
        <v>346</v>
      </c>
      <c r="C22" s="7" t="s">
        <v>347</v>
      </c>
      <c r="D22" s="7" t="s">
        <v>165</v>
      </c>
      <c r="E22" s="7" t="s">
        <v>205</v>
      </c>
      <c r="F22" s="7" t="s">
        <v>206</v>
      </c>
      <c r="G22" s="7" t="s">
        <v>349</v>
      </c>
      <c r="H22" s="7" t="s">
        <v>350</v>
      </c>
      <c r="I22" s="11">
        <v>46268.42013888889</v>
      </c>
      <c r="J22" s="8" t="s">
        <v>212</v>
      </c>
      <c r="K22" s="7" t="s">
        <v>351</v>
      </c>
      <c r="L22" s="8" t="s">
        <v>103</v>
      </c>
      <c r="M22" s="7" t="s">
        <v>352</v>
      </c>
      <c r="N22" s="8" t="s">
        <v>106</v>
      </c>
      <c r="O22" s="8" t="s">
        <v>57</v>
      </c>
    </row>
    <row r="23" ht="22.5" customHeight="1">
      <c r="A23" s="7" t="s">
        <v>275</v>
      </c>
      <c r="B23" s="7" t="s">
        <v>353</v>
      </c>
      <c r="C23" s="7" t="s">
        <v>354</v>
      </c>
      <c r="D23" s="7" t="s">
        <v>197</v>
      </c>
      <c r="E23" s="7" t="s">
        <v>255</v>
      </c>
      <c r="F23" s="7" t="s">
        <v>256</v>
      </c>
      <c r="G23" s="7" t="s">
        <v>355</v>
      </c>
      <c r="H23" s="7" t="s">
        <v>356</v>
      </c>
      <c r="I23" s="11">
        <v>46268.479166666664</v>
      </c>
      <c r="J23" s="8" t="s">
        <v>259</v>
      </c>
      <c r="K23" s="7" t="s">
        <v>357</v>
      </c>
      <c r="L23" s="8" t="s">
        <v>170</v>
      </c>
      <c r="M23" s="7" t="s">
        <v>360</v>
      </c>
      <c r="N23" s="8" t="s">
        <v>56</v>
      </c>
      <c r="O23" s="8" t="s">
        <v>57</v>
      </c>
    </row>
    <row r="24" ht="22.5" customHeight="1">
      <c r="A24" s="7" t="s">
        <v>289</v>
      </c>
      <c r="B24" s="7" t="s">
        <v>367</v>
      </c>
      <c r="C24" s="7" t="s">
        <v>369</v>
      </c>
      <c r="D24" s="7" t="s">
        <v>290</v>
      </c>
      <c r="E24" s="7" t="s">
        <v>306</v>
      </c>
      <c r="F24" s="7" t="s">
        <v>307</v>
      </c>
      <c r="G24" s="7" t="s">
        <v>372</v>
      </c>
      <c r="H24" s="7" t="s">
        <v>373</v>
      </c>
      <c r="I24" s="11">
        <v>46269.37152777778</v>
      </c>
      <c r="J24" s="8" t="s">
        <v>184</v>
      </c>
      <c r="K24" s="7" t="s">
        <v>375</v>
      </c>
      <c r="L24" s="8" t="s">
        <v>52</v>
      </c>
      <c r="M24" s="7" t="s">
        <v>376</v>
      </c>
      <c r="N24" s="8" t="s">
        <v>56</v>
      </c>
      <c r="O24" s="8" t="s">
        <v>57</v>
      </c>
    </row>
    <row r="25" ht="22.5" customHeight="1">
      <c r="A25" s="7" t="s">
        <v>298</v>
      </c>
      <c r="B25" s="7" t="s">
        <v>381</v>
      </c>
      <c r="C25" s="7" t="s">
        <v>382</v>
      </c>
      <c r="D25" s="7" t="s">
        <v>220</v>
      </c>
      <c r="E25" s="7" t="s">
        <v>221</v>
      </c>
      <c r="F25" s="7" t="s">
        <v>222</v>
      </c>
      <c r="G25" s="7" t="s">
        <v>384</v>
      </c>
      <c r="H25" s="7" t="s">
        <v>385</v>
      </c>
      <c r="I25" s="11">
        <v>46269.506944444445</v>
      </c>
      <c r="J25" s="8" t="s">
        <v>225</v>
      </c>
      <c r="K25" s="7" t="s">
        <v>388</v>
      </c>
      <c r="L25" s="8" t="s">
        <v>156</v>
      </c>
      <c r="M25" s="7" t="s">
        <v>390</v>
      </c>
      <c r="N25" s="8" t="s">
        <v>56</v>
      </c>
      <c r="O25" s="8" t="s">
        <v>57</v>
      </c>
    </row>
    <row r="26" ht="22.5" customHeight="1">
      <c r="A26" s="7" t="s">
        <v>315</v>
      </c>
      <c r="B26" s="7" t="s">
        <v>395</v>
      </c>
      <c r="C26" s="7" t="s">
        <v>396</v>
      </c>
      <c r="D26" s="7" t="s">
        <v>153</v>
      </c>
      <c r="E26" s="7" t="s">
        <v>191</v>
      </c>
      <c r="F26" s="7" t="s">
        <v>192</v>
      </c>
      <c r="G26" s="7" t="s">
        <v>398</v>
      </c>
      <c r="H26" s="7" t="s">
        <v>399</v>
      </c>
      <c r="I26" s="11">
        <v>46270.38888888889</v>
      </c>
      <c r="J26" s="8" t="s">
        <v>198</v>
      </c>
      <c r="K26" s="7" t="s">
        <v>400</v>
      </c>
      <c r="L26" s="8" t="s">
        <v>52</v>
      </c>
      <c r="M26" s="7" t="s">
        <v>401</v>
      </c>
      <c r="N26" s="8" t="s">
        <v>56</v>
      </c>
      <c r="O26" s="8" t="s">
        <v>57</v>
      </c>
    </row>
    <row r="27" ht="22.5" customHeight="1">
      <c r="A27" s="7" t="s">
        <v>402</v>
      </c>
      <c r="B27" s="7" t="s">
        <v>403</v>
      </c>
      <c r="C27" s="7" t="s">
        <v>404</v>
      </c>
      <c r="D27" s="7" t="s">
        <v>269</v>
      </c>
      <c r="E27" s="7" t="s">
        <v>270</v>
      </c>
      <c r="F27" s="7" t="s">
        <v>271</v>
      </c>
      <c r="G27" s="7" t="s">
        <v>405</v>
      </c>
      <c r="H27" s="7" t="s">
        <v>406</v>
      </c>
      <c r="I27" s="11">
        <v>46270.444444444445</v>
      </c>
      <c r="J27" s="8" t="s">
        <v>225</v>
      </c>
      <c r="K27" s="7" t="s">
        <v>407</v>
      </c>
      <c r="L27" s="8" t="s">
        <v>103</v>
      </c>
      <c r="M27" s="7" t="s">
        <v>408</v>
      </c>
      <c r="N27" s="8" t="s">
        <v>106</v>
      </c>
      <c r="O27" s="8" t="s">
        <v>57</v>
      </c>
    </row>
    <row r="28" ht="22.5" customHeight="1">
      <c r="A28" s="7" t="s">
        <v>324</v>
      </c>
      <c r="B28" s="7" t="s">
        <v>409</v>
      </c>
      <c r="C28" s="7" t="s">
        <v>410</v>
      </c>
      <c r="D28" s="7" t="s">
        <v>310</v>
      </c>
      <c r="E28" s="7" t="s">
        <v>312</v>
      </c>
      <c r="F28" s="7" t="s">
        <v>313</v>
      </c>
      <c r="G28" s="7" t="s">
        <v>411</v>
      </c>
      <c r="H28" s="7" t="s">
        <v>412</v>
      </c>
      <c r="I28" s="11">
        <v>46270.59375</v>
      </c>
      <c r="J28" s="8" t="s">
        <v>259</v>
      </c>
      <c r="K28" s="7" t="s">
        <v>413</v>
      </c>
      <c r="L28" s="8" t="s">
        <v>98</v>
      </c>
      <c r="M28" s="7" t="s">
        <v>414</v>
      </c>
      <c r="N28" s="8" t="s">
        <v>56</v>
      </c>
      <c r="O28" s="8" t="s">
        <v>57</v>
      </c>
    </row>
    <row r="29" ht="22.5" customHeight="1">
      <c r="A29" s="7" t="s">
        <v>334</v>
      </c>
      <c r="B29" s="7" t="s">
        <v>415</v>
      </c>
      <c r="C29" s="7" t="s">
        <v>416</v>
      </c>
      <c r="D29" s="7" t="s">
        <v>211</v>
      </c>
      <c r="E29" s="7" t="s">
        <v>281</v>
      </c>
      <c r="F29" s="7" t="s">
        <v>282</v>
      </c>
      <c r="G29" s="7" t="s">
        <v>417</v>
      </c>
      <c r="H29" s="7" t="s">
        <v>418</v>
      </c>
      <c r="I29" s="11">
        <v>46270.6875</v>
      </c>
      <c r="J29" s="8" t="s">
        <v>212</v>
      </c>
      <c r="K29" s="7" t="s">
        <v>419</v>
      </c>
      <c r="L29" s="8" t="s">
        <v>52</v>
      </c>
      <c r="M29" s="7" t="s">
        <v>420</v>
      </c>
      <c r="N29" s="8" t="s">
        <v>56</v>
      </c>
      <c r="O29" s="8" t="s">
        <v>57</v>
      </c>
    </row>
    <row r="30" ht="22.5" customHeight="1">
      <c r="A30" s="7" t="s">
        <v>421</v>
      </c>
      <c r="B30" s="7" t="s">
        <v>422</v>
      </c>
      <c r="C30" s="7" t="s">
        <v>423</v>
      </c>
      <c r="D30" s="7" t="s">
        <v>245</v>
      </c>
      <c r="E30" s="7" t="s">
        <v>300</v>
      </c>
      <c r="F30" s="7" t="s">
        <v>302</v>
      </c>
      <c r="G30" s="7" t="s">
        <v>424</v>
      </c>
      <c r="H30" s="7" t="s">
        <v>425</v>
      </c>
      <c r="I30" s="11">
        <v>46271.381944444445</v>
      </c>
      <c r="J30" s="8" t="s">
        <v>198</v>
      </c>
      <c r="K30" s="7" t="s">
        <v>426</v>
      </c>
      <c r="L30" s="8" t="s">
        <v>103</v>
      </c>
      <c r="M30" s="7" t="s">
        <v>427</v>
      </c>
      <c r="N30" s="8" t="s">
        <v>106</v>
      </c>
      <c r="O30" s="8" t="s">
        <v>57</v>
      </c>
    </row>
    <row r="31" ht="22.5" customHeight="1">
      <c r="A31" s="7" t="s">
        <v>341</v>
      </c>
      <c r="B31" s="7" t="s">
        <v>430</v>
      </c>
      <c r="C31" s="7" t="s">
        <v>431</v>
      </c>
      <c r="D31" s="7" t="s">
        <v>290</v>
      </c>
      <c r="E31" s="7" t="s">
        <v>306</v>
      </c>
      <c r="F31" s="7" t="s">
        <v>307</v>
      </c>
      <c r="G31" s="7" t="s">
        <v>435</v>
      </c>
      <c r="H31" s="7" t="s">
        <v>436</v>
      </c>
      <c r="I31" s="11">
        <v>46271.43402777778</v>
      </c>
      <c r="J31" s="8" t="s">
        <v>184</v>
      </c>
      <c r="K31" s="7" t="s">
        <v>437</v>
      </c>
      <c r="L31" s="8" t="s">
        <v>52</v>
      </c>
      <c r="M31" s="7" t="s">
        <v>438</v>
      </c>
      <c r="N31" s="8" t="s">
        <v>56</v>
      </c>
      <c r="O31" s="8" t="s">
        <v>57</v>
      </c>
    </row>
    <row r="32" ht="22.5" customHeight="1">
      <c r="A32" s="7" t="s">
        <v>440</v>
      </c>
      <c r="B32" s="7" t="s">
        <v>442</v>
      </c>
      <c r="C32" s="7" t="s">
        <v>443</v>
      </c>
      <c r="D32" s="15"/>
      <c r="E32" s="7" t="s">
        <v>444</v>
      </c>
      <c r="F32" s="7" t="s">
        <v>445</v>
      </c>
      <c r="G32" s="7" t="s">
        <v>446</v>
      </c>
      <c r="H32" s="7" t="s">
        <v>447</v>
      </c>
      <c r="I32" s="11">
        <v>46271.458333333336</v>
      </c>
      <c r="J32" s="8" t="s">
        <v>101</v>
      </c>
      <c r="K32" s="7" t="s">
        <v>449</v>
      </c>
      <c r="L32" s="8" t="s">
        <v>103</v>
      </c>
      <c r="M32" s="15"/>
      <c r="N32" s="8" t="s">
        <v>106</v>
      </c>
      <c r="O32" s="8" t="s">
        <v>57</v>
      </c>
    </row>
    <row r="33" ht="22.5" customHeight="1">
      <c r="A33" s="7" t="s">
        <v>453</v>
      </c>
      <c r="B33" s="7" t="s">
        <v>454</v>
      </c>
      <c r="C33" s="7" t="s">
        <v>455</v>
      </c>
      <c r="D33" s="15"/>
      <c r="E33" s="7" t="s">
        <v>456</v>
      </c>
      <c r="F33" s="7" t="s">
        <v>457</v>
      </c>
      <c r="G33" s="7" t="s">
        <v>458</v>
      </c>
      <c r="H33" s="7" t="s">
        <v>459</v>
      </c>
      <c r="I33" s="11">
        <v>46271.489583333336</v>
      </c>
      <c r="J33" s="8" t="s">
        <v>101</v>
      </c>
      <c r="K33" s="7" t="s">
        <v>460</v>
      </c>
      <c r="L33" s="8" t="s">
        <v>103</v>
      </c>
      <c r="M33" s="15"/>
      <c r="N33" s="8" t="s">
        <v>106</v>
      </c>
      <c r="O33" s="8" t="s">
        <v>57</v>
      </c>
    </row>
  </sheetData>
  <dataValidations>
    <dataValidation type="list" allowBlank="1" sqref="J2:J33">
      <formula1>#REF!</formula1>
    </dataValidation>
    <dataValidation type="list" allowBlank="1" sqref="O2:O33">
      <formula1>#REF!</formula1>
    </dataValidation>
    <dataValidation type="list" allowBlank="1" sqref="L2:L33">
      <formula1>#REF!</formula1>
    </dataValidation>
    <dataValidation type="list" allowBlank="1" sqref="N2:N33">
      <formula1>"Yes,No"</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14.25"/>
    <col customWidth="1" min="3" max="3" width="11.63"/>
    <col customWidth="1" min="5" max="5" width="32.25"/>
    <col customWidth="1" min="6" max="6" width="14.75"/>
    <col customWidth="1" min="7" max="7" width="10.13"/>
    <col customWidth="1" min="8" max="8" width="16.25"/>
  </cols>
  <sheetData>
    <row r="1" ht="22.5" customHeight="1">
      <c r="A1" s="1" t="s">
        <v>0</v>
      </c>
      <c r="B1" s="1" t="s">
        <v>3</v>
      </c>
      <c r="C1" s="1" t="s">
        <v>4</v>
      </c>
      <c r="D1" s="1" t="s">
        <v>6</v>
      </c>
      <c r="E1" s="1" t="s">
        <v>8</v>
      </c>
      <c r="F1" s="2" t="s">
        <v>10</v>
      </c>
      <c r="G1" s="1" t="s">
        <v>13</v>
      </c>
      <c r="H1" s="1" t="s">
        <v>15</v>
      </c>
    </row>
    <row r="2" ht="22.5" customHeight="1">
      <c r="A2" s="3" t="s">
        <v>17</v>
      </c>
      <c r="B2" s="3" t="s">
        <v>20</v>
      </c>
      <c r="C2" s="4"/>
      <c r="D2" s="3" t="s">
        <v>23</v>
      </c>
      <c r="E2" s="3" t="s">
        <v>25</v>
      </c>
      <c r="F2" s="3"/>
      <c r="G2" s="4"/>
      <c r="H2" s="4"/>
    </row>
    <row r="3" ht="22.5" customHeight="1">
      <c r="A3" s="3" t="s">
        <v>31</v>
      </c>
      <c r="B3" s="3" t="s">
        <v>34</v>
      </c>
      <c r="C3" s="3" t="s">
        <v>36</v>
      </c>
      <c r="D3" s="3" t="s">
        <v>39</v>
      </c>
      <c r="E3" s="3" t="s">
        <v>40</v>
      </c>
      <c r="F3" s="3"/>
      <c r="G3" s="4"/>
      <c r="H3" s="4"/>
    </row>
    <row r="4" ht="22.5" customHeight="1">
      <c r="A4" s="3" t="s">
        <v>46</v>
      </c>
      <c r="B4" s="3" t="s">
        <v>20</v>
      </c>
      <c r="C4" s="3"/>
      <c r="D4" s="3" t="s">
        <v>23</v>
      </c>
      <c r="E4" s="3" t="s">
        <v>25</v>
      </c>
      <c r="F4" s="3"/>
      <c r="G4" s="4"/>
      <c r="H4" s="4"/>
    </row>
    <row r="5" ht="22.5" customHeight="1">
      <c r="A5" s="3" t="s">
        <v>53</v>
      </c>
      <c r="B5" s="3" t="s">
        <v>20</v>
      </c>
      <c r="C5" s="3"/>
      <c r="D5" s="3" t="s">
        <v>23</v>
      </c>
      <c r="E5" s="3" t="s">
        <v>25</v>
      </c>
      <c r="F5" s="3"/>
      <c r="G5" s="4"/>
      <c r="H5" s="4"/>
    </row>
    <row r="6" ht="22.5" customHeight="1">
      <c r="A6" s="3" t="s">
        <v>58</v>
      </c>
      <c r="B6" s="3" t="s">
        <v>20</v>
      </c>
      <c r="C6" s="3"/>
      <c r="D6" s="3" t="s">
        <v>23</v>
      </c>
      <c r="E6" s="3" t="s">
        <v>25</v>
      </c>
      <c r="F6" s="3"/>
      <c r="G6" s="4"/>
      <c r="H6" s="4"/>
    </row>
    <row r="7" ht="22.5" customHeight="1">
      <c r="A7" s="3" t="s">
        <v>59</v>
      </c>
      <c r="B7" s="3" t="s">
        <v>34</v>
      </c>
      <c r="C7" s="3" t="s">
        <v>60</v>
      </c>
      <c r="D7" s="3" t="s">
        <v>39</v>
      </c>
      <c r="E7" s="3" t="s">
        <v>62</v>
      </c>
      <c r="F7" s="3"/>
      <c r="G7" s="4"/>
      <c r="H7" s="4"/>
    </row>
    <row r="8" ht="22.5" customHeight="1">
      <c r="A8" s="3" t="s">
        <v>65</v>
      </c>
      <c r="B8" s="3" t="s">
        <v>67</v>
      </c>
      <c r="C8" s="3" t="s">
        <v>68</v>
      </c>
      <c r="D8" s="3" t="s">
        <v>23</v>
      </c>
      <c r="E8" s="3" t="s">
        <v>70</v>
      </c>
      <c r="F8" s="3" t="s">
        <v>72</v>
      </c>
      <c r="G8" s="4"/>
      <c r="H8" s="4"/>
    </row>
    <row r="9" ht="22.5" customHeight="1">
      <c r="A9" s="3" t="s">
        <v>76</v>
      </c>
      <c r="B9" s="3" t="s">
        <v>67</v>
      </c>
      <c r="C9" s="3" t="s">
        <v>79</v>
      </c>
      <c r="D9" s="3" t="s">
        <v>23</v>
      </c>
      <c r="E9" s="3" t="s">
        <v>70</v>
      </c>
      <c r="F9" s="3" t="s">
        <v>82</v>
      </c>
      <c r="G9" s="4"/>
      <c r="H9" s="4"/>
    </row>
    <row r="10" ht="22.5" customHeight="1">
      <c r="A10" s="3" t="s">
        <v>83</v>
      </c>
      <c r="B10" s="3" t="s">
        <v>67</v>
      </c>
      <c r="C10" s="3" t="s">
        <v>84</v>
      </c>
      <c r="D10" s="3" t="s">
        <v>23</v>
      </c>
      <c r="E10" s="3" t="s">
        <v>70</v>
      </c>
      <c r="F10" s="3" t="s">
        <v>85</v>
      </c>
      <c r="G10" s="4"/>
      <c r="H10" s="4"/>
    </row>
    <row r="11" ht="22.5" customHeight="1">
      <c r="A11" s="3" t="s">
        <v>86</v>
      </c>
      <c r="B11" s="3" t="s">
        <v>67</v>
      </c>
      <c r="C11" s="3" t="s">
        <v>88</v>
      </c>
      <c r="D11" s="3" t="s">
        <v>23</v>
      </c>
      <c r="E11" s="3" t="s">
        <v>70</v>
      </c>
      <c r="F11" s="3" t="s">
        <v>91</v>
      </c>
      <c r="G11" s="4"/>
      <c r="H11" s="4"/>
    </row>
    <row r="12" ht="22.5" customHeight="1">
      <c r="A12" s="3" t="s">
        <v>95</v>
      </c>
      <c r="B12" s="3" t="s">
        <v>97</v>
      </c>
      <c r="C12" s="3" t="s">
        <v>89</v>
      </c>
      <c r="D12" s="3" t="s">
        <v>100</v>
      </c>
      <c r="E12" s="3" t="s">
        <v>102</v>
      </c>
      <c r="F12" s="3"/>
      <c r="G12" s="4"/>
      <c r="H12" s="4"/>
    </row>
    <row r="13" ht="22.5" customHeight="1">
      <c r="A13" s="3" t="s">
        <v>107</v>
      </c>
      <c r="B13" s="3" t="s">
        <v>108</v>
      </c>
      <c r="C13" s="3" t="s">
        <v>93</v>
      </c>
      <c r="D13" s="3" t="s">
        <v>109</v>
      </c>
      <c r="E13" s="3" t="s">
        <v>110</v>
      </c>
      <c r="F13" s="3"/>
      <c r="G13" s="4"/>
      <c r="H13" s="4"/>
    </row>
    <row r="14" ht="22.5" customHeight="1">
      <c r="A14" s="3" t="s">
        <v>111</v>
      </c>
      <c r="B14" s="3" t="s">
        <v>20</v>
      </c>
      <c r="C14" s="3" t="s">
        <v>112</v>
      </c>
      <c r="D14" s="3" t="s">
        <v>23</v>
      </c>
      <c r="E14" s="3" t="s">
        <v>115</v>
      </c>
      <c r="F14" s="3"/>
      <c r="G14" s="4"/>
      <c r="H14" s="4"/>
    </row>
    <row r="15" ht="22.5" customHeight="1">
      <c r="A15" s="3" t="s">
        <v>118</v>
      </c>
      <c r="B15" s="3" t="s">
        <v>67</v>
      </c>
      <c r="C15" s="3" t="s">
        <v>112</v>
      </c>
      <c r="D15" s="3" t="s">
        <v>23</v>
      </c>
      <c r="E15" s="3" t="s">
        <v>70</v>
      </c>
      <c r="F15" s="3" t="s">
        <v>122</v>
      </c>
      <c r="G15" s="4"/>
      <c r="H15" s="4"/>
    </row>
    <row r="16" ht="22.5" customHeight="1">
      <c r="A16" s="3" t="s">
        <v>124</v>
      </c>
      <c r="B16" s="3" t="s">
        <v>20</v>
      </c>
      <c r="C16" s="3" t="s">
        <v>116</v>
      </c>
      <c r="D16" s="3" t="s">
        <v>23</v>
      </c>
      <c r="E16" s="3" t="s">
        <v>125</v>
      </c>
      <c r="F16" s="3"/>
      <c r="G16" s="4"/>
      <c r="H16" s="4"/>
    </row>
    <row r="17" ht="22.5" customHeight="1">
      <c r="A17" s="3" t="s">
        <v>126</v>
      </c>
      <c r="B17" s="3" t="s">
        <v>34</v>
      </c>
      <c r="C17" s="3" t="s">
        <v>117</v>
      </c>
      <c r="D17" s="3" t="s">
        <v>39</v>
      </c>
      <c r="E17" s="3" t="s">
        <v>129</v>
      </c>
      <c r="F17" s="3"/>
      <c r="G17" s="4"/>
      <c r="H17" s="4"/>
    </row>
    <row r="18" ht="22.5" customHeight="1">
      <c r="A18" s="3" t="s">
        <v>132</v>
      </c>
      <c r="B18" s="3" t="s">
        <v>67</v>
      </c>
      <c r="C18" s="3" t="s">
        <v>116</v>
      </c>
      <c r="D18" s="3" t="s">
        <v>23</v>
      </c>
      <c r="E18" s="3" t="s">
        <v>70</v>
      </c>
      <c r="F18" s="3" t="s">
        <v>119</v>
      </c>
      <c r="G18" s="4"/>
      <c r="H18" s="4"/>
    </row>
    <row r="19" ht="22.5" customHeight="1">
      <c r="A19" s="3" t="s">
        <v>136</v>
      </c>
      <c r="B19" s="3" t="s">
        <v>97</v>
      </c>
      <c r="C19" s="3" t="s">
        <v>114</v>
      </c>
      <c r="D19" s="3" t="s">
        <v>100</v>
      </c>
      <c r="E19" s="3" t="s">
        <v>137</v>
      </c>
      <c r="F19" s="3"/>
      <c r="G19" s="4"/>
      <c r="H19" s="4"/>
    </row>
    <row r="20" ht="22.5" customHeight="1">
      <c r="A20" s="3" t="s">
        <v>138</v>
      </c>
      <c r="B20" s="3" t="s">
        <v>108</v>
      </c>
      <c r="C20" s="3" t="s">
        <v>93</v>
      </c>
      <c r="D20" s="3" t="s">
        <v>109</v>
      </c>
      <c r="E20" s="3" t="s">
        <v>141</v>
      </c>
      <c r="F20" s="3"/>
      <c r="G20" s="4"/>
      <c r="H20" s="4"/>
    </row>
    <row r="21" ht="22.5" customHeight="1">
      <c r="A21" s="3" t="s">
        <v>145</v>
      </c>
      <c r="B21" s="3" t="s">
        <v>147</v>
      </c>
      <c r="C21" s="3" t="s">
        <v>61</v>
      </c>
      <c r="D21" s="3" t="s">
        <v>100</v>
      </c>
      <c r="E21" s="3" t="s">
        <v>71</v>
      </c>
      <c r="F21" s="3"/>
      <c r="G21" s="3" t="s">
        <v>80</v>
      </c>
      <c r="H21" s="4"/>
    </row>
    <row r="22" ht="22.5" customHeight="1">
      <c r="A22" s="3" t="s">
        <v>151</v>
      </c>
      <c r="B22" s="3" t="s">
        <v>147</v>
      </c>
      <c r="C22" s="3" t="s">
        <v>89</v>
      </c>
      <c r="D22" s="3" t="s">
        <v>100</v>
      </c>
      <c r="E22" s="3" t="s">
        <v>91</v>
      </c>
      <c r="F22" s="3"/>
      <c r="G22" s="3" t="s">
        <v>104</v>
      </c>
      <c r="H22" s="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1.63"/>
    <col customWidth="1" min="3" max="3" width="14.75"/>
    <col customWidth="1" min="4" max="4" width="22.0"/>
    <col customWidth="1" min="5" max="5" width="34.5"/>
    <col customWidth="1" min="6" max="6" width="14.0"/>
    <col customWidth="1" min="7" max="7" width="18.38"/>
    <col customWidth="1" min="8" max="8" width="15.5"/>
    <col customWidth="1" min="9" max="9" width="13.5"/>
    <col customWidth="1" min="10" max="10" width="20.63"/>
    <col customWidth="1" min="11" max="11" width="9.88"/>
  </cols>
  <sheetData>
    <row r="1" ht="22.5" customHeight="1">
      <c r="A1" s="2" t="s">
        <v>1</v>
      </c>
      <c r="B1" s="1" t="s">
        <v>2</v>
      </c>
      <c r="C1" s="1" t="s">
        <v>9</v>
      </c>
      <c r="D1" s="2" t="s">
        <v>11</v>
      </c>
      <c r="E1" s="2" t="s">
        <v>8</v>
      </c>
      <c r="F1" s="2" t="s">
        <v>24</v>
      </c>
      <c r="G1" s="2" t="s">
        <v>28</v>
      </c>
      <c r="H1" s="2" t="s">
        <v>30</v>
      </c>
      <c r="I1" s="2" t="s">
        <v>32</v>
      </c>
      <c r="J1" s="1" t="s">
        <v>35</v>
      </c>
      <c r="K1" s="1" t="s">
        <v>38</v>
      </c>
    </row>
    <row r="2" ht="22.5" customHeight="1">
      <c r="A2" s="3" t="s">
        <v>42</v>
      </c>
      <c r="B2" s="3" t="s">
        <v>33</v>
      </c>
      <c r="C2" s="3" t="s">
        <v>41</v>
      </c>
      <c r="D2" s="3" t="s">
        <v>48</v>
      </c>
      <c r="E2" s="3" t="s">
        <v>50</v>
      </c>
      <c r="F2" s="5" t="s">
        <v>52</v>
      </c>
      <c r="G2" s="6">
        <v>46235.0</v>
      </c>
      <c r="H2" s="3"/>
      <c r="I2" s="5" t="s">
        <v>55</v>
      </c>
      <c r="J2" s="6"/>
      <c r="K2" s="4"/>
    </row>
    <row r="3" ht="22.5" customHeight="1">
      <c r="A3" s="3" t="s">
        <v>61</v>
      </c>
      <c r="B3" s="3" t="s">
        <v>63</v>
      </c>
      <c r="C3" s="3" t="s">
        <v>64</v>
      </c>
      <c r="D3" s="3" t="s">
        <v>69</v>
      </c>
      <c r="E3" s="3" t="s">
        <v>71</v>
      </c>
      <c r="F3" s="5" t="s">
        <v>52</v>
      </c>
      <c r="G3" s="6">
        <v>46235.0</v>
      </c>
      <c r="H3" s="3"/>
      <c r="I3" s="5" t="s">
        <v>80</v>
      </c>
      <c r="J3" s="6">
        <v>46239.0</v>
      </c>
      <c r="K3" s="4"/>
    </row>
    <row r="4" ht="22.5" customHeight="1">
      <c r="A4" s="3" t="s">
        <v>89</v>
      </c>
      <c r="B4" s="3" t="s">
        <v>88</v>
      </c>
      <c r="C4" s="3" t="s">
        <v>60</v>
      </c>
      <c r="D4" s="3" t="s">
        <v>93</v>
      </c>
      <c r="E4" s="3" t="s">
        <v>91</v>
      </c>
      <c r="F4" s="5" t="s">
        <v>98</v>
      </c>
      <c r="G4" s="6">
        <v>46238.0</v>
      </c>
      <c r="H4" s="3"/>
      <c r="I4" s="5" t="s">
        <v>104</v>
      </c>
      <c r="J4" s="6">
        <v>46239.0</v>
      </c>
      <c r="K4" s="4"/>
    </row>
    <row r="5" ht="22.5" customHeight="1">
      <c r="A5" s="3" t="s">
        <v>114</v>
      </c>
      <c r="B5" s="3" t="s">
        <v>116</v>
      </c>
      <c r="C5" s="3" t="s">
        <v>117</v>
      </c>
      <c r="D5" s="3" t="s">
        <v>93</v>
      </c>
      <c r="E5" s="3" t="s">
        <v>119</v>
      </c>
      <c r="F5" s="5" t="s">
        <v>52</v>
      </c>
      <c r="G5" s="6">
        <v>46238.0</v>
      </c>
      <c r="H5" s="3"/>
      <c r="I5" s="5" t="s">
        <v>55</v>
      </c>
      <c r="J5" s="6"/>
      <c r="K5" s="4"/>
    </row>
    <row r="6" ht="22.5" customHeight="1">
      <c r="A6" s="7" t="s">
        <v>127</v>
      </c>
      <c r="B6" s="7" t="s">
        <v>130</v>
      </c>
      <c r="C6" s="7" t="s">
        <v>131</v>
      </c>
      <c r="D6" s="7" t="s">
        <v>133</v>
      </c>
      <c r="E6" s="7" t="s">
        <v>135</v>
      </c>
      <c r="F6" s="8" t="s">
        <v>52</v>
      </c>
      <c r="G6" s="9">
        <v>46254.0</v>
      </c>
      <c r="H6" s="10">
        <v>46256.0</v>
      </c>
      <c r="I6" s="8" t="s">
        <v>104</v>
      </c>
      <c r="J6" s="10">
        <v>46255.0</v>
      </c>
      <c r="K6" s="7" t="s">
        <v>140</v>
      </c>
    </row>
    <row r="7" ht="22.5" customHeight="1">
      <c r="A7" s="7" t="s">
        <v>150</v>
      </c>
      <c r="B7" s="7" t="s">
        <v>152</v>
      </c>
      <c r="C7" s="7" t="s">
        <v>153</v>
      </c>
      <c r="D7" s="7" t="s">
        <v>48</v>
      </c>
      <c r="E7" s="7" t="s">
        <v>154</v>
      </c>
      <c r="F7" s="8" t="s">
        <v>156</v>
      </c>
      <c r="G7" s="9">
        <v>46256.0</v>
      </c>
      <c r="H7" s="10">
        <v>46258.0</v>
      </c>
      <c r="I7" s="8" t="s">
        <v>104</v>
      </c>
      <c r="J7" s="10">
        <v>46256.0</v>
      </c>
      <c r="K7" s="7" t="s">
        <v>160</v>
      </c>
    </row>
    <row r="8" ht="22.5" customHeight="1">
      <c r="A8" s="7" t="s">
        <v>162</v>
      </c>
      <c r="B8" s="7" t="s">
        <v>163</v>
      </c>
      <c r="C8" s="7" t="s">
        <v>165</v>
      </c>
      <c r="D8" s="7" t="s">
        <v>69</v>
      </c>
      <c r="E8" s="7" t="s">
        <v>167</v>
      </c>
      <c r="F8" s="8" t="s">
        <v>170</v>
      </c>
      <c r="G8" s="9">
        <v>46259.0</v>
      </c>
      <c r="H8" s="10">
        <v>46259.0</v>
      </c>
      <c r="I8" s="8" t="s">
        <v>104</v>
      </c>
      <c r="J8" s="10">
        <v>46259.0</v>
      </c>
      <c r="K8" s="7" t="s">
        <v>174</v>
      </c>
    </row>
    <row r="9" ht="22.5" customHeight="1">
      <c r="A9" s="7" t="s">
        <v>177</v>
      </c>
      <c r="B9" s="7" t="s">
        <v>180</v>
      </c>
      <c r="C9" s="7" t="s">
        <v>183</v>
      </c>
      <c r="D9" s="7" t="s">
        <v>133</v>
      </c>
      <c r="E9" s="7" t="s">
        <v>185</v>
      </c>
      <c r="F9" s="8" t="s">
        <v>52</v>
      </c>
      <c r="G9" s="9">
        <v>46261.0</v>
      </c>
      <c r="H9" s="10">
        <v>46262.0</v>
      </c>
      <c r="I9" s="8" t="s">
        <v>104</v>
      </c>
      <c r="J9" s="10">
        <v>46262.0</v>
      </c>
      <c r="K9" s="7" t="s">
        <v>188</v>
      </c>
    </row>
    <row r="10" ht="22.5" customHeight="1">
      <c r="A10" s="7" t="s">
        <v>193</v>
      </c>
      <c r="B10" s="7" t="s">
        <v>195</v>
      </c>
      <c r="C10" s="7" t="s">
        <v>197</v>
      </c>
      <c r="D10" s="7" t="s">
        <v>69</v>
      </c>
      <c r="E10" s="7" t="s">
        <v>199</v>
      </c>
      <c r="F10" s="8" t="s">
        <v>98</v>
      </c>
      <c r="G10" s="9">
        <v>46263.0</v>
      </c>
      <c r="H10" s="10">
        <v>46263.0</v>
      </c>
      <c r="I10" s="8" t="s">
        <v>104</v>
      </c>
      <c r="J10" s="10">
        <v>46263.0</v>
      </c>
      <c r="K10" s="7" t="s">
        <v>202</v>
      </c>
    </row>
    <row r="11" ht="22.5" customHeight="1">
      <c r="A11" s="7" t="s">
        <v>207</v>
      </c>
      <c r="B11" s="7" t="s">
        <v>210</v>
      </c>
      <c r="C11" s="7" t="s">
        <v>211</v>
      </c>
      <c r="D11" s="7" t="s">
        <v>93</v>
      </c>
      <c r="E11" s="7" t="s">
        <v>214</v>
      </c>
      <c r="F11" s="8" t="s">
        <v>170</v>
      </c>
      <c r="G11" s="9">
        <v>46266.0</v>
      </c>
      <c r="H11" s="10">
        <v>46268.0</v>
      </c>
      <c r="I11" s="8" t="s">
        <v>55</v>
      </c>
      <c r="J11" s="12"/>
      <c r="K11" s="7" t="s">
        <v>217</v>
      </c>
    </row>
    <row r="12" ht="22.5" customHeight="1">
      <c r="A12" s="7" t="s">
        <v>226</v>
      </c>
      <c r="B12" s="7" t="s">
        <v>229</v>
      </c>
      <c r="C12" s="7" t="s">
        <v>131</v>
      </c>
      <c r="D12" s="7" t="s">
        <v>133</v>
      </c>
      <c r="E12" s="7" t="s">
        <v>234</v>
      </c>
      <c r="F12" s="8" t="s">
        <v>52</v>
      </c>
      <c r="G12" s="9">
        <v>46266.0</v>
      </c>
      <c r="H12" s="10">
        <v>46267.0</v>
      </c>
      <c r="I12" s="8" t="s">
        <v>55</v>
      </c>
      <c r="J12" s="12"/>
      <c r="K12" s="13"/>
    </row>
    <row r="13" ht="22.5" customHeight="1">
      <c r="A13" s="7" t="s">
        <v>242</v>
      </c>
      <c r="B13" s="7" t="s">
        <v>244</v>
      </c>
      <c r="C13" s="7" t="s">
        <v>245</v>
      </c>
      <c r="D13" s="7" t="s">
        <v>48</v>
      </c>
      <c r="E13" s="7" t="s">
        <v>246</v>
      </c>
      <c r="F13" s="8" t="s">
        <v>170</v>
      </c>
      <c r="G13" s="9">
        <v>46267.0</v>
      </c>
      <c r="H13" s="10">
        <v>46267.0</v>
      </c>
      <c r="I13" s="8" t="s">
        <v>104</v>
      </c>
      <c r="J13" s="10">
        <v>46268.0</v>
      </c>
      <c r="K13" s="7" t="s">
        <v>249</v>
      </c>
    </row>
    <row r="14" ht="22.5" customHeight="1">
      <c r="A14" s="7" t="s">
        <v>250</v>
      </c>
      <c r="B14" s="7" t="s">
        <v>251</v>
      </c>
      <c r="C14" s="7" t="s">
        <v>183</v>
      </c>
      <c r="D14" s="7" t="s">
        <v>133</v>
      </c>
      <c r="E14" s="7" t="s">
        <v>253</v>
      </c>
      <c r="F14" s="8" t="s">
        <v>52</v>
      </c>
      <c r="G14" s="9">
        <v>46267.0</v>
      </c>
      <c r="H14" s="10">
        <v>46270.0</v>
      </c>
      <c r="I14" s="8" t="s">
        <v>55</v>
      </c>
      <c r="J14" s="12"/>
      <c r="K14" s="13"/>
    </row>
    <row r="15" ht="22.5" customHeight="1">
      <c r="A15" s="7" t="s">
        <v>262</v>
      </c>
      <c r="B15" s="7" t="s">
        <v>263</v>
      </c>
      <c r="C15" s="7" t="s">
        <v>264</v>
      </c>
      <c r="D15" s="7" t="s">
        <v>69</v>
      </c>
      <c r="E15" s="7" t="s">
        <v>265</v>
      </c>
      <c r="F15" s="8" t="s">
        <v>52</v>
      </c>
      <c r="G15" s="9">
        <v>46267.0</v>
      </c>
      <c r="H15" s="10">
        <v>46270.0</v>
      </c>
      <c r="I15" s="8" t="s">
        <v>55</v>
      </c>
      <c r="J15" s="12"/>
      <c r="K15" s="13"/>
    </row>
    <row r="16" ht="22.5" customHeight="1">
      <c r="A16" s="7" t="s">
        <v>274</v>
      </c>
      <c r="B16" s="7" t="s">
        <v>275</v>
      </c>
      <c r="C16" s="7" t="s">
        <v>197</v>
      </c>
      <c r="D16" s="7" t="s">
        <v>69</v>
      </c>
      <c r="E16" s="7" t="s">
        <v>277</v>
      </c>
      <c r="F16" s="8" t="s">
        <v>170</v>
      </c>
      <c r="G16" s="9">
        <v>46268.0</v>
      </c>
      <c r="H16" s="10">
        <v>46271.0</v>
      </c>
      <c r="I16" s="8" t="s">
        <v>280</v>
      </c>
      <c r="J16" s="12"/>
      <c r="K16" s="7" t="s">
        <v>283</v>
      </c>
    </row>
    <row r="17" ht="22.5" customHeight="1">
      <c r="A17" s="7" t="s">
        <v>287</v>
      </c>
      <c r="B17" s="7" t="s">
        <v>289</v>
      </c>
      <c r="C17" s="7" t="s">
        <v>290</v>
      </c>
      <c r="D17" s="7" t="s">
        <v>133</v>
      </c>
      <c r="E17" s="7" t="s">
        <v>292</v>
      </c>
      <c r="F17" s="8" t="s">
        <v>52</v>
      </c>
      <c r="G17" s="9">
        <v>46269.0</v>
      </c>
      <c r="H17" s="10">
        <v>46272.0</v>
      </c>
      <c r="I17" s="8" t="s">
        <v>295</v>
      </c>
      <c r="J17" s="12"/>
      <c r="K17" s="13"/>
    </row>
    <row r="18" ht="22.5" customHeight="1">
      <c r="A18" s="7" t="s">
        <v>297</v>
      </c>
      <c r="B18" s="7" t="s">
        <v>298</v>
      </c>
      <c r="C18" s="7" t="s">
        <v>220</v>
      </c>
      <c r="D18" s="7" t="s">
        <v>48</v>
      </c>
      <c r="E18" s="7" t="s">
        <v>303</v>
      </c>
      <c r="F18" s="8" t="s">
        <v>156</v>
      </c>
      <c r="G18" s="9">
        <v>46269.0</v>
      </c>
      <c r="H18" s="10">
        <v>46270.0</v>
      </c>
      <c r="I18" s="8" t="s">
        <v>104</v>
      </c>
      <c r="J18" s="10">
        <v>46270.0</v>
      </c>
      <c r="K18" s="7" t="s">
        <v>309</v>
      </c>
    </row>
    <row r="19" ht="22.5" customHeight="1">
      <c r="A19" s="7" t="s">
        <v>314</v>
      </c>
      <c r="B19" s="7" t="s">
        <v>315</v>
      </c>
      <c r="C19" s="7" t="s">
        <v>153</v>
      </c>
      <c r="D19" s="7" t="s">
        <v>48</v>
      </c>
      <c r="E19" s="7" t="s">
        <v>318</v>
      </c>
      <c r="F19" s="8" t="s">
        <v>52</v>
      </c>
      <c r="G19" s="9">
        <v>46270.0</v>
      </c>
      <c r="H19" s="10">
        <v>46271.0</v>
      </c>
      <c r="I19" s="8" t="s">
        <v>55</v>
      </c>
      <c r="J19" s="12"/>
      <c r="K19" s="13"/>
    </row>
    <row r="20" ht="22.5" customHeight="1">
      <c r="A20" s="7" t="s">
        <v>323</v>
      </c>
      <c r="B20" s="7" t="s">
        <v>324</v>
      </c>
      <c r="C20" s="7" t="s">
        <v>310</v>
      </c>
      <c r="D20" s="7" t="s">
        <v>69</v>
      </c>
      <c r="E20" s="7" t="s">
        <v>327</v>
      </c>
      <c r="F20" s="8" t="s">
        <v>98</v>
      </c>
      <c r="G20" s="9">
        <v>46270.0</v>
      </c>
      <c r="H20" s="10">
        <v>46270.0</v>
      </c>
      <c r="I20" s="8" t="s">
        <v>295</v>
      </c>
      <c r="J20" s="12"/>
      <c r="K20" s="7" t="s">
        <v>331</v>
      </c>
    </row>
    <row r="21" ht="22.5" customHeight="1">
      <c r="A21" s="7" t="s">
        <v>333</v>
      </c>
      <c r="B21" s="7" t="s">
        <v>334</v>
      </c>
      <c r="C21" s="7" t="s">
        <v>211</v>
      </c>
      <c r="D21" s="7" t="s">
        <v>93</v>
      </c>
      <c r="E21" s="7" t="s">
        <v>335</v>
      </c>
      <c r="F21" s="8" t="s">
        <v>52</v>
      </c>
      <c r="G21" s="9">
        <v>46270.0</v>
      </c>
      <c r="H21" s="10">
        <v>46273.0</v>
      </c>
      <c r="I21" s="8" t="s">
        <v>55</v>
      </c>
      <c r="J21" s="12"/>
      <c r="K21" s="13"/>
    </row>
    <row r="22" ht="22.5" customHeight="1">
      <c r="A22" s="7" t="s">
        <v>340</v>
      </c>
      <c r="B22" s="7" t="s">
        <v>341</v>
      </c>
      <c r="C22" s="7" t="s">
        <v>290</v>
      </c>
      <c r="D22" s="7" t="s">
        <v>133</v>
      </c>
      <c r="E22" s="7" t="s">
        <v>343</v>
      </c>
      <c r="F22" s="8" t="s">
        <v>52</v>
      </c>
      <c r="G22" s="9">
        <v>46271.0</v>
      </c>
      <c r="H22" s="10">
        <v>46271.0</v>
      </c>
      <c r="I22" s="8" t="s">
        <v>104</v>
      </c>
      <c r="J22" s="10">
        <v>46271.0</v>
      </c>
      <c r="K22" s="7" t="s">
        <v>348</v>
      </c>
    </row>
  </sheetData>
  <dataValidations>
    <dataValidation type="list" allowBlank="1" sqref="I2:I22">
      <formula1>#REF!</formula1>
    </dataValidation>
    <dataValidation type="custom" allowBlank="1" showDropDown="1" sqref="G2:H22 J2:J22">
      <formula1>OR(NOT(ISERROR(DATEVALUE(G2))), AND(ISNUMBER(G2), LEFT(CELL("format", G2))="D"))</formula1>
    </dataValidation>
    <dataValidation type="list" allowBlank="1" sqref="F2:F22">
      <formula1>#REF!</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7.63"/>
    <col customWidth="1" min="3" max="3" width="17.25"/>
    <col customWidth="1" min="4" max="4" width="18.88"/>
    <col customWidth="1" min="5" max="5" width="18.63"/>
    <col customWidth="1" min="6" max="6" width="15.75"/>
    <col customWidth="1" min="7" max="7" width="14.63"/>
  </cols>
  <sheetData>
    <row r="1" ht="22.5" customHeight="1">
      <c r="A1" s="2" t="s">
        <v>9</v>
      </c>
      <c r="B1" s="2" t="s">
        <v>227</v>
      </c>
      <c r="C1" s="2" t="s">
        <v>230</v>
      </c>
      <c r="D1" s="1" t="s">
        <v>231</v>
      </c>
      <c r="E1" s="1" t="s">
        <v>233</v>
      </c>
      <c r="F1" s="1" t="s">
        <v>32</v>
      </c>
      <c r="G1" s="1" t="s">
        <v>235</v>
      </c>
    </row>
    <row r="2" ht="22.5" customHeight="1">
      <c r="A2" s="3" t="s">
        <v>41</v>
      </c>
      <c r="B2" s="3" t="s">
        <v>43</v>
      </c>
      <c r="C2" s="3" t="s">
        <v>44</v>
      </c>
      <c r="D2" s="3" t="s">
        <v>49</v>
      </c>
      <c r="E2" s="3" t="s">
        <v>49</v>
      </c>
      <c r="F2" s="3" t="s">
        <v>236</v>
      </c>
      <c r="G2" s="4"/>
    </row>
    <row r="3" ht="22.5" customHeight="1">
      <c r="A3" s="3" t="s">
        <v>64</v>
      </c>
      <c r="B3" s="3" t="s">
        <v>43</v>
      </c>
      <c r="C3" s="3" t="s">
        <v>73</v>
      </c>
      <c r="D3" s="3" t="s">
        <v>77</v>
      </c>
      <c r="E3" s="3" t="s">
        <v>77</v>
      </c>
      <c r="F3" s="3" t="s">
        <v>236</v>
      </c>
      <c r="G3" s="4"/>
    </row>
    <row r="4" ht="22.5" customHeight="1">
      <c r="A4" s="3" t="s">
        <v>36</v>
      </c>
      <c r="B4" s="3" t="s">
        <v>90</v>
      </c>
      <c r="C4" s="3" t="s">
        <v>92</v>
      </c>
      <c r="D4" s="3" t="s">
        <v>99</v>
      </c>
      <c r="E4" s="3" t="s">
        <v>99</v>
      </c>
      <c r="F4" s="3" t="s">
        <v>236</v>
      </c>
      <c r="G4" s="4"/>
    </row>
    <row r="5" ht="22.5" customHeight="1">
      <c r="A5" s="3" t="s">
        <v>60</v>
      </c>
      <c r="B5" s="3" t="s">
        <v>142</v>
      </c>
      <c r="C5" s="3" t="s">
        <v>143</v>
      </c>
      <c r="D5" s="3" t="s">
        <v>148</v>
      </c>
      <c r="E5" s="3" t="s">
        <v>148</v>
      </c>
      <c r="F5" s="3" t="s">
        <v>236</v>
      </c>
      <c r="G5" s="4"/>
    </row>
    <row r="6" ht="22.5" customHeight="1">
      <c r="A6" s="3" t="s">
        <v>117</v>
      </c>
      <c r="B6" s="3" t="s">
        <v>43</v>
      </c>
      <c r="C6" s="3" t="s">
        <v>168</v>
      </c>
      <c r="D6" s="3" t="s">
        <v>172</v>
      </c>
      <c r="E6" s="3" t="s">
        <v>172</v>
      </c>
      <c r="F6" s="3" t="s">
        <v>236</v>
      </c>
      <c r="G6" s="4"/>
    </row>
    <row r="7" ht="22.5" customHeight="1">
      <c r="A7" s="7" t="s">
        <v>131</v>
      </c>
      <c r="B7" s="7" t="s">
        <v>178</v>
      </c>
      <c r="C7" s="7" t="s">
        <v>179</v>
      </c>
      <c r="D7" s="10">
        <v>46254.0</v>
      </c>
      <c r="E7" s="10">
        <v>46269.0</v>
      </c>
      <c r="F7" s="7" t="s">
        <v>236</v>
      </c>
      <c r="G7" s="7">
        <v>3.0</v>
      </c>
    </row>
    <row r="8" ht="22.5" customHeight="1">
      <c r="A8" s="7" t="s">
        <v>153</v>
      </c>
      <c r="B8" s="7" t="s">
        <v>191</v>
      </c>
      <c r="C8" s="7" t="s">
        <v>192</v>
      </c>
      <c r="D8" s="10">
        <v>46256.0</v>
      </c>
      <c r="E8" s="10">
        <v>46270.0</v>
      </c>
      <c r="F8" s="7" t="s">
        <v>236</v>
      </c>
      <c r="G8" s="7">
        <v>3.0</v>
      </c>
    </row>
    <row r="9" ht="22.5" customHeight="1">
      <c r="A9" s="7" t="s">
        <v>165</v>
      </c>
      <c r="B9" s="7" t="s">
        <v>205</v>
      </c>
      <c r="C9" s="7" t="s">
        <v>206</v>
      </c>
      <c r="D9" s="10">
        <v>46259.0</v>
      </c>
      <c r="E9" s="10">
        <v>46268.0</v>
      </c>
      <c r="F9" s="7" t="s">
        <v>236</v>
      </c>
      <c r="G9" s="7">
        <v>2.0</v>
      </c>
    </row>
    <row r="10" ht="22.5" customHeight="1">
      <c r="A10" s="7" t="s">
        <v>183</v>
      </c>
      <c r="B10" s="7" t="s">
        <v>239</v>
      </c>
      <c r="C10" s="7" t="s">
        <v>240</v>
      </c>
      <c r="D10" s="10">
        <v>46261.0</v>
      </c>
      <c r="E10" s="10">
        <v>46267.0</v>
      </c>
      <c r="F10" s="7" t="s">
        <v>236</v>
      </c>
      <c r="G10" s="7">
        <v>2.0</v>
      </c>
    </row>
    <row r="11" ht="22.5" customHeight="1">
      <c r="A11" s="7" t="s">
        <v>197</v>
      </c>
      <c r="B11" s="7" t="s">
        <v>255</v>
      </c>
      <c r="C11" s="7" t="s">
        <v>256</v>
      </c>
      <c r="D11" s="10">
        <v>46263.0</v>
      </c>
      <c r="E11" s="10">
        <v>46271.0</v>
      </c>
      <c r="F11" s="7" t="s">
        <v>236</v>
      </c>
      <c r="G11" s="7">
        <v>3.0</v>
      </c>
    </row>
    <row r="12" ht="22.5" customHeight="1">
      <c r="A12" s="7" t="s">
        <v>211</v>
      </c>
      <c r="B12" s="7" t="s">
        <v>281</v>
      </c>
      <c r="C12" s="7" t="s">
        <v>282</v>
      </c>
      <c r="D12" s="10">
        <v>46266.0</v>
      </c>
      <c r="E12" s="10">
        <v>46271.0</v>
      </c>
      <c r="F12" s="7" t="s">
        <v>236</v>
      </c>
      <c r="G12" s="7">
        <v>2.0</v>
      </c>
    </row>
    <row r="13" ht="22.5" customHeight="1">
      <c r="A13" s="7" t="s">
        <v>264</v>
      </c>
      <c r="B13" s="7" t="s">
        <v>286</v>
      </c>
      <c r="C13" s="7" t="s">
        <v>288</v>
      </c>
      <c r="D13" s="10">
        <v>46267.0</v>
      </c>
      <c r="E13" s="10">
        <v>46270.0</v>
      </c>
      <c r="F13" s="7" t="s">
        <v>236</v>
      </c>
      <c r="G13" s="7">
        <v>2.0</v>
      </c>
    </row>
    <row r="14" ht="22.5" customHeight="1">
      <c r="A14" s="7" t="s">
        <v>220</v>
      </c>
      <c r="B14" s="7" t="s">
        <v>221</v>
      </c>
      <c r="C14" s="7" t="s">
        <v>222</v>
      </c>
      <c r="D14" s="10">
        <v>46252.0</v>
      </c>
      <c r="E14" s="10">
        <v>46269.0</v>
      </c>
      <c r="F14" s="7" t="s">
        <v>225</v>
      </c>
      <c r="G14" s="7">
        <v>2.0</v>
      </c>
    </row>
    <row r="15" ht="22.5" customHeight="1">
      <c r="A15" s="7" t="s">
        <v>269</v>
      </c>
      <c r="B15" s="7" t="s">
        <v>270</v>
      </c>
      <c r="C15" s="7" t="s">
        <v>271</v>
      </c>
      <c r="D15" s="10">
        <v>46264.0</v>
      </c>
      <c r="E15" s="10">
        <v>46270.0</v>
      </c>
      <c r="F15" s="7" t="s">
        <v>225</v>
      </c>
      <c r="G15" s="7">
        <v>2.0</v>
      </c>
    </row>
    <row r="16" ht="22.5" customHeight="1">
      <c r="A16" s="7" t="s">
        <v>245</v>
      </c>
      <c r="B16" s="7" t="s">
        <v>300</v>
      </c>
      <c r="C16" s="7" t="s">
        <v>302</v>
      </c>
      <c r="D16" s="10">
        <v>46268.0</v>
      </c>
      <c r="E16" s="10">
        <v>46271.0</v>
      </c>
      <c r="F16" s="7" t="s">
        <v>236</v>
      </c>
      <c r="G16" s="7">
        <v>2.0</v>
      </c>
    </row>
    <row r="17" ht="22.5" customHeight="1">
      <c r="A17" s="7" t="s">
        <v>290</v>
      </c>
      <c r="B17" s="7" t="s">
        <v>306</v>
      </c>
      <c r="C17" s="7" t="s">
        <v>307</v>
      </c>
      <c r="D17" s="10">
        <v>46269.0</v>
      </c>
      <c r="E17" s="10">
        <v>46271.0</v>
      </c>
      <c r="F17" s="7" t="s">
        <v>236</v>
      </c>
      <c r="G17" s="7">
        <v>2.0</v>
      </c>
    </row>
    <row r="18" ht="22.5" customHeight="1">
      <c r="A18" s="7" t="s">
        <v>310</v>
      </c>
      <c r="B18" s="7" t="s">
        <v>312</v>
      </c>
      <c r="C18" s="7" t="s">
        <v>313</v>
      </c>
      <c r="D18" s="10">
        <v>46270.0</v>
      </c>
      <c r="E18" s="10">
        <v>46271.0</v>
      </c>
      <c r="F18" s="7" t="s">
        <v>236</v>
      </c>
      <c r="G18" s="7">
        <v>1.0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7.63"/>
    <col customWidth="1" min="3" max="3" width="18.38"/>
    <col customWidth="1" min="4" max="4" width="11.63"/>
    <col customWidth="1" min="5" max="5" width="13.5"/>
    <col customWidth="1" min="6" max="6" width="16.75"/>
    <col customWidth="1" min="7" max="7" width="23.0"/>
    <col customWidth="1" min="8" max="8" width="23.13"/>
    <col customWidth="1" min="9" max="9" width="18.5"/>
  </cols>
  <sheetData>
    <row r="1" ht="22.5" customHeight="1">
      <c r="A1" s="2" t="s">
        <v>358</v>
      </c>
      <c r="B1" s="2" t="s">
        <v>359</v>
      </c>
      <c r="C1" s="2" t="s">
        <v>23</v>
      </c>
      <c r="D1" s="2" t="s">
        <v>361</v>
      </c>
      <c r="E1" s="2" t="s">
        <v>32</v>
      </c>
      <c r="F1" s="1" t="s">
        <v>362</v>
      </c>
      <c r="G1" s="1" t="s">
        <v>363</v>
      </c>
      <c r="H1" s="1" t="s">
        <v>364</v>
      </c>
      <c r="I1" s="1" t="s">
        <v>365</v>
      </c>
    </row>
    <row r="2" ht="22.5" customHeight="1">
      <c r="A2" s="7" t="s">
        <v>69</v>
      </c>
      <c r="B2" s="7" t="s">
        <v>366</v>
      </c>
      <c r="C2" s="7" t="s">
        <v>368</v>
      </c>
      <c r="D2" s="7">
        <v>8.253651111E9</v>
      </c>
      <c r="E2" s="8" t="s">
        <v>370</v>
      </c>
      <c r="F2" s="7" t="s">
        <v>371</v>
      </c>
      <c r="G2" s="14">
        <v>3.0</v>
      </c>
      <c r="H2" s="9">
        <v>46270.0</v>
      </c>
      <c r="I2" s="7" t="s">
        <v>374</v>
      </c>
    </row>
    <row r="3" ht="22.5" customHeight="1">
      <c r="A3" s="7" t="s">
        <v>48</v>
      </c>
      <c r="B3" s="7" t="s">
        <v>377</v>
      </c>
      <c r="C3" s="7" t="s">
        <v>378</v>
      </c>
      <c r="D3" s="7">
        <v>8.254764765E9</v>
      </c>
      <c r="E3" s="8" t="s">
        <v>379</v>
      </c>
      <c r="F3" s="7" t="s">
        <v>380</v>
      </c>
      <c r="G3" s="14">
        <v>1.0</v>
      </c>
      <c r="H3" s="9">
        <v>46270.0</v>
      </c>
      <c r="I3" s="7" t="s">
        <v>383</v>
      </c>
    </row>
    <row r="4" ht="22.5" customHeight="1">
      <c r="A4" s="7" t="s">
        <v>93</v>
      </c>
      <c r="B4" s="7" t="s">
        <v>386</v>
      </c>
      <c r="C4" s="7" t="s">
        <v>387</v>
      </c>
      <c r="D4" s="7">
        <v>8.251234325E9</v>
      </c>
      <c r="E4" s="8" t="s">
        <v>379</v>
      </c>
      <c r="F4" s="7" t="s">
        <v>389</v>
      </c>
      <c r="G4" s="14">
        <v>2.0</v>
      </c>
      <c r="H4" s="9">
        <v>46270.0</v>
      </c>
      <c r="I4" s="7" t="s">
        <v>391</v>
      </c>
    </row>
    <row r="5" ht="22.5" customHeight="1">
      <c r="A5" s="7" t="s">
        <v>133</v>
      </c>
      <c r="B5" s="7" t="s">
        <v>392</v>
      </c>
      <c r="C5" s="7" t="s">
        <v>393</v>
      </c>
      <c r="D5" s="7">
        <v>8.25000909E9</v>
      </c>
      <c r="E5" s="8" t="s">
        <v>370</v>
      </c>
      <c r="F5" s="7" t="s">
        <v>394</v>
      </c>
      <c r="G5" s="14">
        <v>3.0</v>
      </c>
      <c r="H5" s="9">
        <v>46271.0</v>
      </c>
      <c r="I5" s="7" t="s">
        <v>397</v>
      </c>
    </row>
  </sheetData>
  <dataValidations>
    <dataValidation type="list" allowBlank="1" sqref="E2:E5">
      <formula1>#REF!</formula1>
    </dataValidation>
    <dataValidation type="custom" allowBlank="1" showDropDown="1" sqref="H2:H5">
      <formula1>OR(NOT(ISERROR(DATEVALUE(H2))), AND(ISNUMBER(H2), LEFT(CELL("format", H2))="D"))</formula1>
    </dataValidation>
    <dataValidation type="custom" allowBlank="1" showDropDown="1" sqref="G2:G5">
      <formula1>AND(ISNUMBER(G2),(NOT(OR(NOT(ISERROR(DATEVALUE(G2))), AND(ISNUMBER(G2), LEFT(CELL("format", G2))="D")))))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3" max="3" width="19.63"/>
    <col customWidth="1" min="5" max="5" width="23.5"/>
    <col customWidth="1" min="7" max="7" width="14.25"/>
    <col customWidth="1" min="9" max="9" width="19.0"/>
  </cols>
  <sheetData>
    <row r="1" ht="22.5" customHeight="1">
      <c r="A1" s="2" t="s">
        <v>428</v>
      </c>
      <c r="C1" s="2" t="s">
        <v>429</v>
      </c>
      <c r="E1" s="2" t="s">
        <v>432</v>
      </c>
      <c r="G1" s="2" t="s">
        <v>433</v>
      </c>
      <c r="I1" s="2" t="s">
        <v>434</v>
      </c>
    </row>
    <row r="2" ht="22.5" customHeight="1">
      <c r="A2" s="3" t="s">
        <v>184</v>
      </c>
      <c r="C2" s="3" t="s">
        <v>98</v>
      </c>
      <c r="E2" s="3" t="s">
        <v>439</v>
      </c>
      <c r="G2" s="3" t="s">
        <v>439</v>
      </c>
      <c r="I2" s="3" t="s">
        <v>379</v>
      </c>
    </row>
    <row r="3" ht="22.5" customHeight="1">
      <c r="A3" s="3" t="s">
        <v>212</v>
      </c>
      <c r="C3" s="3" t="s">
        <v>170</v>
      </c>
      <c r="E3" s="3" t="s">
        <v>441</v>
      </c>
      <c r="G3" s="3" t="s">
        <v>55</v>
      </c>
      <c r="I3" s="3" t="s">
        <v>370</v>
      </c>
    </row>
    <row r="4" ht="22.5" customHeight="1">
      <c r="A4" s="3" t="s">
        <v>198</v>
      </c>
      <c r="C4" s="3" t="s">
        <v>52</v>
      </c>
      <c r="E4" s="3" t="s">
        <v>57</v>
      </c>
      <c r="G4" s="3" t="s">
        <v>295</v>
      </c>
      <c r="I4" s="3" t="s">
        <v>448</v>
      </c>
    </row>
    <row r="5" ht="22.5" customHeight="1">
      <c r="A5" s="3" t="s">
        <v>225</v>
      </c>
      <c r="C5" s="3" t="s">
        <v>156</v>
      </c>
      <c r="E5" s="3" t="s">
        <v>279</v>
      </c>
      <c r="G5" s="3" t="s">
        <v>280</v>
      </c>
      <c r="I5" s="3" t="s">
        <v>450</v>
      </c>
    </row>
    <row r="6" ht="22.5" customHeight="1">
      <c r="A6" s="3" t="s">
        <v>259</v>
      </c>
      <c r="C6" s="3" t="s">
        <v>451</v>
      </c>
      <c r="E6" s="16" t="s">
        <v>452</v>
      </c>
      <c r="G6" s="3" t="s">
        <v>104</v>
      </c>
    </row>
    <row r="7" ht="22.5" customHeight="1">
      <c r="A7" s="3" t="s">
        <v>101</v>
      </c>
      <c r="G7" s="3" t="s">
        <v>80</v>
      </c>
    </row>
  </sheetData>
  <drawing r:id="rId1"/>
  <tableParts count="5">
    <tablePart r:id="rId7"/>
    <tablePart r:id="rId8"/>
    <tablePart r:id="rId9"/>
    <tablePart r:id="rId10"/>
    <tablePart r:id="rId11"/>
  </tableParts>
</worksheet>
</file>